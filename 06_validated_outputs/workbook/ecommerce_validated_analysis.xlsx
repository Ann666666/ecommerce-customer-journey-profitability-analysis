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67abd92ca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0e2f599e01c4150"/>
    <x:sheet xmlns:r="http://schemas.openxmlformats.org/officeDocument/2006/relationships" name="Data QA" sheetId="2" r:id="R752c6679d5d64f51"/>
    <x:sheet xmlns:r="http://schemas.openxmlformats.org/officeDocument/2006/relationships" name="Data Profile" sheetId="3" r:id="R806ba736224f4237"/>
    <x:sheet xmlns:r="http://schemas.openxmlformats.org/officeDocument/2006/relationships" name="Model QA" sheetId="4" r:id="R351d701b88bb4340"/>
    <x:sheet xmlns:r="http://schemas.openxmlformats.org/officeDocument/2006/relationships" name="Funnel" sheetId="5" r:id="Rafe0e944e1bd4e19"/>
    <x:sheet xmlns:r="http://schemas.openxmlformats.org/officeDocument/2006/relationships" name="Discount" sheetId="6" r:id="R2137bbac1283495e"/>
    <x:sheet xmlns:r="http://schemas.openxmlformats.org/officeDocument/2006/relationships" name="Customer Value" sheetId="7" r:id="R6757eaa97f09449a"/>
    <x:sheet xmlns:r="http://schemas.openxmlformats.org/officeDocument/2006/relationships" name="RFM Summary" sheetId="8" r:id="R7002c21584214c17"/>
    <x:sheet xmlns:r="http://schemas.openxmlformats.org/officeDocument/2006/relationships" name="Category" sheetId="9" r:id="Rf8c4417b35a643f6"/>
    <x:sheet xmlns:r="http://schemas.openxmlformats.org/officeDocument/2006/relationships" name="Cohort Summary" sheetId="10" r:id="Rd7cac3d1a14f4de8"/>
    <x:sheet xmlns:r="http://schemas.openxmlformats.org/officeDocument/2006/relationships" name="Time Trend" sheetId="11" r:id="Ra7af1d2f754443e2"/>
    <x:sheet xmlns:r="http://schemas.openxmlformats.org/officeDocument/2006/relationships" name="Source" sheetId="12" r:id="Rb61c66e2d5df4a7d"/>
    <x:sheet xmlns:r="http://schemas.openxmlformats.org/officeDocument/2006/relationships" name="Device" sheetId="13" r:id="Red87c52ea48041a1"/>
    <x:sheet xmlns:r="http://schemas.openxmlformats.org/officeDocument/2006/relationships" name="Geography" sheetId="14" r:id="Rddb6a0fe9b70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#,##0.00"/>
    <x:numFmt numFmtId="202" formatCode="0.0%"/>
    <x:numFmt numFmtId="203" formatCode="0&quot;%&quot;"/>
    <x:numFmt numFmtId="204" formatCode="0.00"/>
    <x:numFmt numFmtId="205" formatCode="&quot;$&quot;#,##0.00"/>
    <x:numFmt numFmtId="206" formatCode="0&quot;M&quot;"/>
    <x:numFmt numFmtId="207" formatCode="0.00%"/>
    <x:numFmt numFmtId="208" formatCode="yyyy-mm"/>
    <x:numFmt numFmtId="209" formatCode="&quot;$&quot;#,##0"/>
  </x:numFmts>
  <x:fonts count="12">
    <x:font>
      <x:sz val="11"/>
      <x:name val="Carlito"/>
    </x:font>
    <x:font>
      <x:sz val="10"/>
      <x:color rgb="FF1F2933"/>
      <x:name val="Aptos"/>
    </x:font>
    <x:font>
      <x:b/>
      <x:sz val="10"/>
      <x:color rgb="FFFFFFFF"/>
      <x:name val="Aptos Display"/>
    </x:font>
    <x:font>
      <x:b/>
      <x:sz val="22"/>
      <x:color rgb="FFFFFFFF"/>
      <x:name val="Aptos Display"/>
    </x:font>
    <x:font>
      <x:sz val="11"/>
      <x:color rgb="FF5B6770"/>
      <x:name val="Aptos"/>
    </x:font>
    <x:font>
      <x:b/>
      <x:sz val="10"/>
      <x:color rgb="FF5B6770"/>
      <x:name val="Aptos"/>
    </x:font>
    <x:font>
      <x:b/>
      <x:sz val="19"/>
      <x:color rgb="FF17324D"/>
      <x:name val="Aptos Display"/>
    </x:font>
    <x:font>
      <x:b/>
      <x:sz val="13"/>
      <x:color rgb="FFFFFFFF"/>
      <x:name val="Aptos Display"/>
    </x:font>
    <x:font>
      <x:b/>
      <x:sz val="10"/>
      <x:color rgb="FF1F2933"/>
      <x:name val="Aptos"/>
    </x:font>
    <x:font>
      <x:b/>
      <x:sz val="11"/>
      <x:color rgb="FF1F2933"/>
      <x:name val="Carlito"/>
    </x:font>
    <x:font>
      <x:b/>
      <x:sz val="11"/>
      <x:color rgb="FF2A7F7F"/>
      <x:name val="Carlito"/>
    </x:font>
    <x:font>
      <x:sz val="10"/>
      <x:color rgb="FF5B677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4F7F9"/>
      </x:patternFill>
    </x:fill>
    <x:fill>
      <x:patternFill patternType="solid">
        <x:fgColor rgb="FFFFFFFF"/>
      </x:patternFill>
    </x:fill>
    <x:fill>
      <x:patternFill patternType="solid">
        <x:fgColor rgb="FF2F6B9A"/>
      </x:patternFill>
    </x:fill>
    <x:fill>
      <x:patternFill patternType="solid">
        <x:fgColor rgb="FFF7F9FB"/>
      </x:patternFill>
    </x:fill>
  </x:fills>
  <x:borders count="1">
    <x:border/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209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200" fontId="6" fillId="0" borderId="0" xfId="0" applyNumberFormat="1" applyFont="1" applyFill="1" applyBorder="1"/>
    <x:xf numFmtId="200" fontId="6" fillId="5" borderId="0" xfId="0" applyNumberFormat="1" applyFont="1" applyFill="1" applyBorder="1"/>
    <x:xf numFmtId="200" fontId="6" fillId="5" borderId="0" xfId="0" applyNumberFormat="1" applyFont="1" applyFill="1" applyBorder="1" applyAlignment="1">
      <x:alignment vertical="center"/>
    </x:xf>
    <x:xf numFmtId="209" fontId="6" fillId="0" borderId="0" xfId="0" applyNumberFormat="1" applyFont="1" applyFill="1" applyBorder="1"/>
    <x:xf numFmtId="209" fontId="6" fillId="5" borderId="0" xfId="0" applyNumberFormat="1" applyFont="1" applyFill="1" applyBorder="1"/>
    <x:xf numFmtId="209" fontId="6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3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10" fillId="7" borderId="0" xfId="0" applyNumberFormat="1" applyFont="1" applyFill="1" applyBorder="1"/>
    <x:xf numFmtId="207" fontId="1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10" fillId="5" borderId="0" xfId="0" applyNumberFormat="1" applyFont="1" applyFill="1" applyBorder="1"/>
    <x:xf numFmtId="207" fontId="1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17">
    <x:dxf>
      <x:font>
        <x:b/>
        <x:color rgb="FF1E5B35"/>
      </x:font>
      <x:fill>
        <x:patternFill>
          <x:bgColor rgb="FFDDEFE3"/>
        </x:patternFill>
      </x:fill>
    </x:dxf>
    <x:dxf>
      <x:font>
        <x:b/>
        <x:color rgb="FF7A5310"/>
      </x:font>
      <x:fill>
        <x:patternFill>
          <x:bgColor rgb="FFFFF1CC"/>
        </x:patternFill>
      </x:fill>
    </x:dxf>
    <x:dxf>
      <x:font>
        <x:b/>
        <x:color rgb="FF8A2B2B"/>
      </x:font>
      <x:fill>
        <x:patternFill>
          <x:bgColor rgb="FFFBE2E2"/>
        </x:patternFill>
      </x:fill>
    </x:dxf>
    <x:dxf>
      <x:fill>
        <x:patternFill>
          <x:bgColor rgb="FFF7F9FB"/>
        </x:patternFill>
      </x:fill>
    </x:dxf>
    <x:dxf>
      <x:font>
        <x:b/>
        <x:color rgb="FF1E5B35"/>
      </x:font>
      <x:fill>
        <x:patternFill>
          <x:bgColor rgb="FFDDEFE3"/>
        </x:patternFill>
      </x:fill>
    </x:dxf>
    <x:dxf>
      <x:font>
        <x:b/>
        <x:color rgb="FF7A5310"/>
      </x:font>
      <x:fill>
        <x:patternFill>
          <x:bgColor rgb="FFFFF1CC"/>
        </x:patternFill>
      </x:fill>
    </x:dxf>
    <x:dxf>
      <x:font>
        <x:b/>
        <x:color rgb="FF8A2B2B"/>
      </x:font>
      <x:fill>
        <x:patternFill>
          <x:bgColor rgb="FFFBE2E2"/>
        </x:patternFill>
      </x:fill>
    </x:dxf>
    <x:dxf>
      <x:fill>
        <x:patternFill>
          <x:bgColor rgb="FFF7F9FB"/>
        </x:patternFill>
      </x:fill>
    </x:dxf>
    <x:dxf>
      <x:fill>
        <x:patternFill>
          <x:bgColor rgb="FFF7F9FB"/>
        </x:patternFill>
      </x:fill>
    </x:dxf>
    <x:dxf>
      <x:fill>
        <x:patternFill>
          <x:bgColor rgb="FFF7F9FB"/>
        </x:patternFill>
      </x:fill>
    </x:dxf>
    <x:dxf>
      <x:fill>
        <x:patternFill>
          <x:bgColor rgb="FFF7F9FB"/>
        </x:patternFill>
      </x:fill>
    </x:dxf>
    <x:dxf>
      <x:fill>
        <x:patternFill>
          <x:bgColor rgb="FFF7F9FB"/>
        </x:patternFill>
      </x:fill>
    </x:dxf>
    <x:dxf>
      <x:fill>
        <x:patternFill>
          <x:bgColor rgb="FFF7F9FB"/>
        </x:patternFill>
      </x:fill>
    </x:dxf>
    <x:dxf>
      <x:fill>
        <x:patternFill>
          <x:bgColor rgb="FFF7F9FB"/>
        </x:patternFill>
      </x:fill>
    </x:dxf>
    <x:dxf>
      <x:fill>
        <x:patternFill>
          <x:bgColor rgb="FFF7F9FB"/>
        </x:patternFill>
      </x:fill>
    </x:dxf>
    <x:dxf>
      <x:fill>
        <x:patternFill>
          <x:bgColor rgb="FFF7F9FB"/>
        </x:patternFill>
      </x:fill>
    </x:dxf>
    <x:dxf>
      <x:fill>
        <x:patternFill>
          <x:bgColor rgb="FFF7F9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f2b05d611415e" /><Relationship Type="http://schemas.openxmlformats.org/officeDocument/2006/relationships/theme" Target="/xl/theme/theme1.xml" Id="Rcc86212561394064" /><Relationship Type="http://schemas.openxmlformats.org/officeDocument/2006/relationships/sharedStrings" Target="/xl/sharedStrings.xml" Id="R819af85af1da40f1" /><Relationship Type="http://schemas.openxmlformats.org/officeDocument/2006/relationships/worksheet" Target="/xl/worksheets/sheet1.xml" Id="R90e2f599e01c4150" /><Relationship Type="http://schemas.openxmlformats.org/officeDocument/2006/relationships/worksheet" Target="/xl/worksheets/sheet2.xml" Id="R752c6679d5d64f51" /><Relationship Type="http://schemas.openxmlformats.org/officeDocument/2006/relationships/worksheet" Target="/xl/worksheets/sheet3.xml" Id="R806ba736224f4237" /><Relationship Type="http://schemas.openxmlformats.org/officeDocument/2006/relationships/worksheet" Target="/xl/worksheets/sheet4.xml" Id="R351d701b88bb4340" /><Relationship Type="http://schemas.openxmlformats.org/officeDocument/2006/relationships/worksheet" Target="/xl/worksheets/sheet5.xml" Id="Rafe0e944e1bd4e19" /><Relationship Type="http://schemas.openxmlformats.org/officeDocument/2006/relationships/worksheet" Target="/xl/worksheets/sheet6.xml" Id="R2137bbac1283495e" /><Relationship Type="http://schemas.openxmlformats.org/officeDocument/2006/relationships/worksheet" Target="/xl/worksheets/sheet7.xml" Id="R6757eaa97f09449a" /><Relationship Type="http://schemas.openxmlformats.org/officeDocument/2006/relationships/worksheet" Target="/xl/worksheets/sheet8.xml" Id="R7002c21584214c17" /><Relationship Type="http://schemas.openxmlformats.org/officeDocument/2006/relationships/worksheet" Target="/xl/worksheets/sheet9.xml" Id="Rf8c4417b35a643f6" /><Relationship Type="http://schemas.openxmlformats.org/officeDocument/2006/relationships/worksheet" Target="/xl/worksheets/sheet10.xml" Id="Rd7cac3d1a14f4de8" /><Relationship Type="http://schemas.openxmlformats.org/officeDocument/2006/relationships/worksheet" Target="/xl/worksheets/sheet11.xml" Id="Ra7af1d2f754443e2" /><Relationship Type="http://schemas.openxmlformats.org/officeDocument/2006/relationships/worksheet" Target="/xl/worksheets/sheet12.xml" Id="Rb61c66e2d5df4a7d" /><Relationship Type="http://schemas.openxmlformats.org/officeDocument/2006/relationships/worksheet" Target="/xl/worksheets/sheet13.xml" Id="Red87c52ea48041a1" /><Relationship Type="http://schemas.openxmlformats.org/officeDocument/2006/relationships/worksheet" Target="/xl/worksheets/sheet14.xml" Id="Rddb6a0fe9b704d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7" t="str">
        <x:v>E-commerce Customer Journey &amp; Profitability Diagnostic</x:v>
      </x:c>
      <x:c r="B1" s="17"/>
      <x:c r="C1" s="17"/>
      <x:c r="D1" s="17"/>
      <x:c r="E1" s="17"/>
      <x:c r="F1" s="17"/>
      <x:c r="G1" s="17"/>
      <x:c r="H1" s="17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>
      <x:c r="A3" s="19" t="str">
        <x:v>Validated analysis snapshot | Synthetic Kaggle dataset | MySQL 8+</x:v>
      </x:c>
      <x:c r="B3" s="19"/>
      <x:c r="C3" s="19"/>
      <x:c r="D3" s="19"/>
      <x:c r="E3" s="19"/>
      <x:c r="F3" s="19"/>
      <x:c r="G3" s="19"/>
      <x:c r="H3" s="19"/>
    </x:row>
    <x:row r="4">
      <x:c r="A4" s="47"/>
      <x:c r="B4" s="47"/>
      <x:c r="C4" s="47"/>
      <x:c r="D4" s="47"/>
      <x:c r="E4" s="47"/>
      <x:c r="F4" s="47"/>
      <x:c r="G4" s="47"/>
      <x:c r="H4" s="47"/>
    </x:row>
    <x:row r="5">
      <x:c r="A5" s="23" t="str">
        <x:v>Sessions</x:v>
      </x:c>
      <x:c r="B5" s="47"/>
      <x:c r="C5" s="23" t="str">
        <x:v>Orders</x:v>
      </x:c>
      <x:c r="D5" s="47"/>
      <x:c r="E5" s="23" t="str">
        <x:v>Net revenue</x:v>
      </x:c>
      <x:c r="F5" s="47"/>
      <x:c r="G5" s="23" t="str">
        <x:v>Net profit proxy</x:v>
      </x:c>
      <x:c r="H5" s="47"/>
    </x:row>
    <x:row r="6">
      <x:c r="A6" s="26" t="n">
        <x:f>'Funnel'!C2</x:f>
        <x:v>120000</x:v>
      </x:c>
      <x:c r="B6" s="47"/>
      <x:c r="C6" s="26" t="n">
        <x:f>SUM('Discount'!B2:B6)</x:f>
        <x:v>33580</x:v>
      </x:c>
      <x:c r="D6" s="47"/>
      <x:c r="E6" s="29" t="n">
        <x:f>SUM('Customer Value'!F2:F3)</x:f>
        <x:v>4493217.47</x:v>
      </x:c>
      <x:c r="F6" s="47"/>
      <x:c r="G6" s="29" t="n">
        <x:f>SUM('Category'!I2:I8)</x:f>
        <x:v>1370906.90999929</x:v>
      </x:c>
      <x:c r="H6" s="47"/>
    </x:row>
    <x:row r="7">
      <x:c r="A7" s="47"/>
      <x:c r="B7" s="47"/>
      <x:c r="C7" s="47"/>
      <x:c r="D7" s="47"/>
      <x:c r="E7" s="47"/>
      <x:c r="F7" s="47"/>
      <x:c r="G7" s="47"/>
      <x:c r="H7" s="47"/>
    </x:row>
    <x:row r="8">
      <x:c r="A8" s="47"/>
      <x:c r="B8" s="47"/>
      <x:c r="C8" s="47"/>
      <x:c r="D8" s="47"/>
      <x:c r="E8" s="47"/>
      <x:c r="F8" s="47"/>
      <x:c r="G8" s="47"/>
      <x:c r="H8" s="47"/>
    </x:row>
    <x:row r="9">
      <x:c r="A9" s="31" t="str">
        <x:v>Validated findings</x:v>
      </x:c>
      <x:c r="B9" s="31"/>
      <x:c r="C9" s="31"/>
      <x:c r="D9" s="31"/>
      <x:c r="E9" s="31"/>
      <x:c r="F9" s="31"/>
      <x:c r="G9" s="31"/>
      <x:c r="H9" s="31"/>
    </x:row>
    <x:row r="10">
      <x:c r="A10" s="32" t="str">
        <x:v>Metric</x:v>
      </x:c>
      <x:c r="B10" s="32" t="str">
        <x:v>Verified result</x:v>
      </x:c>
      <x:c r="C10" s="32" t="str">
        <x:v>Interpretation</x:v>
      </x:c>
      <x:c r="D10" s="32"/>
      <x:c r="E10" s="32"/>
      <x:c r="F10" s="32"/>
      <x:c r="G10" s="32"/>
      <x:c r="H10" s="32"/>
    </x:row>
    <x:row r="11" ht="34" customHeight="1">
      <x:c r="A11" s="34" t="str">
        <x:v>Session conversion</x:v>
      </x:c>
      <x:c r="B11" s="36" t="n">
        <x:f>'Funnel'!F5</x:f>
        <x:v>0.2798</x:v>
      </x:c>
      <x:c r="C11" s="37" t="str">
        <x:v>27.98% of view sessions reach purchase; the largest step loss is Add to Cart → Checkout.</x:v>
      </x:c>
      <x:c r="D11" s="33"/>
      <x:c r="E11" s="33"/>
      <x:c r="F11" s="33"/>
      <x:c r="G11" s="33"/>
      <x:c r="H11" s="33"/>
    </x:row>
    <x:row r="12" ht="34" customHeight="1">
      <x:c r="A12" s="39" t="str">
        <x:v>Repeat-buyer revenue share</x:v>
      </x:c>
      <x:c r="B12" s="41" t="n">
        <x:f>'Customer Value'!G2</x:f>
        <x:v>0.812367</x:v>
      </x:c>
      <x:c r="C12" s="42" t="str">
        <x:v>Repeat buyers are 61.75% of purchasing customers and contribute 81.24% of net revenue.</x:v>
      </x:c>
      <x:c r="D12" s="38"/>
      <x:c r="E12" s="38"/>
      <x:c r="F12" s="38"/>
      <x:c r="G12" s="38"/>
      <x:c r="H12" s="38"/>
    </x:row>
    <x:row r="13" ht="34" customHeight="1">
      <x:c r="A13" s="34" t="str">
        <x:v>20% discount net margin</x:v>
      </x:c>
      <x:c r="B13" s="36" t="n">
        <x:f>'Discount'!J6</x:f>
        <x:v>0.194326</x:v>
      </x:c>
      <x:c r="C13" s="37" t="str">
        <x:v>Observed net margin declines from 35.53% at full price to 19.43% at 20% discount; descriptive, not causal.</x:v>
      </x:c>
      <x:c r="D13" s="33"/>
      <x:c r="E13" s="33"/>
      <x:c r="F13" s="33"/>
      <x:c r="G13" s="33"/>
      <x:c r="H13" s="33"/>
    </x:row>
    <x:row r="14" ht="34" customHeight="1">
      <x:c r="A14" s="39" t="str">
        <x:v>Top five category share</x:v>
      </x:c>
      <x:c r="B14" s="41" t="n">
        <x:f>'Category'!H2+'Category'!H3+'Category'!H4+'Category'!H5+'Category'!H6</x:f>
        <x:v>0.8031715368390001</x:v>
      </x:c>
      <x:c r="C14" s="42" t="str">
        <x:v>Five of seven categories contribute 80.32% of net revenue; this is category concentration, not customer Pareto.</x:v>
      </x:c>
      <x:c r="D14" s="38"/>
      <x:c r="E14" s="38"/>
      <x:c r="F14" s="38"/>
      <x:c r="G14" s="38"/>
      <x:c r="H14" s="38"/>
    </x:row>
    <x:row r="15" ht="34" customHeight="1">
      <x:c r="A15" s="34" t="str">
        <x:v>M1 repeat activity</x:v>
      </x:c>
      <x:c r="B15" s="36" t="n">
        <x:f>'Cohort Summary'!E2</x:f>
        <x:v>0.0225</x:v>
      </x:c>
      <x:c r="C15" s="37" t="str">
        <x:v>Weighted month-1 repeat-purchase activity is 2.25%; chronology limitations rule out signup-based retention.</x:v>
      </x:c>
      <x:c r="D15" s="33"/>
      <x:c r="E15" s="33"/>
      <x:c r="F15" s="33"/>
      <x:c r="G15" s="33"/>
      <x:c r="H15" s="33"/>
    </x:row>
    <x:row r="16">
      <x:c r="A16" s="47"/>
      <x:c r="B16" s="47"/>
      <x:c r="C16" s="47"/>
      <x:c r="D16" s="47"/>
      <x:c r="E16" s="47"/>
      <x:c r="F16" s="47"/>
      <x:c r="G16" s="47"/>
      <x:c r="H16" s="47"/>
    </x:row>
    <x:row r="17">
      <x:c r="A17" s="47"/>
      <x:c r="B17" s="47"/>
      <x:c r="C17" s="47"/>
      <x:c r="D17" s="47"/>
      <x:c r="E17" s="47"/>
      <x:c r="F17" s="47"/>
      <x:c r="G17" s="47"/>
      <x:c r="H17" s="47"/>
    </x:row>
    <x:row r="18">
      <x:c r="A18" s="31" t="str">
        <x:v>Scope and audit notes</x:v>
      </x:c>
      <x:c r="B18" s="31"/>
      <x:c r="C18" s="31"/>
      <x:c r="D18" s="31"/>
      <x:c r="E18" s="31"/>
      <x:c r="F18" s="31"/>
      <x:c r="G18" s="31"/>
      <x:c r="H18" s="31"/>
    </x:row>
    <x:row r="19">
      <x:c r="A19" s="46" t="str">
        <x:v>The source is a fully synthetic multi-table Kaggle dataset. All revenue, profit, customer, funnel, cohort, and category outputs are descriptive. Product cost excludes shipping, tax, returns, and operating expenses; net profit is therefore a merchandise contribution proxy. Known chronology anomalies are retained and documented rather than silently removed. Source: https://www.kaggle.com/datasets/wafaaelhusseini/e-commerce-transactions-clickstream</x:v>
      </x:c>
      <x:c r="B19" s="46"/>
      <x:c r="C19" s="46"/>
      <x:c r="D19" s="46"/>
      <x:c r="E19" s="46"/>
      <x:c r="F19" s="46"/>
      <x:c r="G19" s="46"/>
      <x:c r="H19" s="46"/>
    </x:row>
    <x:row r="20">
      <x:c r="A20" s="46"/>
      <x:c r="B20" s="46"/>
      <x:c r="C20" s="46"/>
      <x:c r="D20" s="46"/>
      <x:c r="E20" s="46"/>
      <x:c r="F20" s="46"/>
      <x:c r="G20" s="46"/>
      <x:c r="H20" s="46"/>
    </x:row>
    <x:row r="21">
      <x:c r="A21" s="46"/>
      <x:c r="B21" s="46"/>
      <x:c r="C21" s="46"/>
      <x:c r="D21" s="46"/>
      <x:c r="E21" s="46"/>
      <x:c r="F21" s="46"/>
      <x:c r="G21" s="46"/>
      <x:c r="H21" s="46"/>
    </x:row>
    <x:row r="22">
      <x:c r="A22" s="46"/>
      <x:c r="B22" s="46"/>
      <x:c r="C22" s="46"/>
      <x:c r="D22" s="46"/>
      <x:c r="E22" s="46"/>
      <x:c r="F22" s="46"/>
      <x:c r="G22" s="46"/>
      <x:c r="H22" s="46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H9"/>
    <x:mergeCell ref="C10:H10"/>
    <x:mergeCell ref="C11:H11"/>
    <x:mergeCell ref="C12:H12"/>
    <x:mergeCell ref="C13:H13"/>
    <x:mergeCell ref="C14:H14"/>
    <x:mergeCell ref="C15:H15"/>
    <x:mergeCell ref="A18:H18"/>
    <x:mergeCell ref="A19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9" hidden="0" customWidth="1"/>
    <x:col min="3" max="3" width="14" hidden="0" customWidth="1"/>
    <x:col min="4" max="4" width="14" hidden="0" customWidth="1"/>
    <x:col min="5" max="5" width="82" hidden="0" customWidth="1"/>
  </x:cols>
  <x:sheetData>
    <x:row r="1" ht="32" customHeight="1">
      <x:c r="A1" s="5" t="str">
        <x:v>check_group</x:v>
      </x:c>
      <x:c r="B1" s="5" t="str">
        <x:v>check_name</x:v>
      </x:c>
      <x:c r="C1" s="5" t="str">
        <x:v>result_value</x:v>
      </x:c>
      <x:c r="D1" s="5" t="str">
        <x:v>status</x:v>
      </x:c>
      <x:c r="E1" s="5" t="str">
        <x:v>interpretation</x:v>
      </x:c>
    </x:row>
    <x:row r="2">
      <x:c r="A2" s="2" t="str">
        <x:v>duplicate_like</x:v>
      </x:c>
      <x:c r="B2" s="2" t="str">
        <x:v>duplicate_order_product_groups</x:v>
      </x:c>
      <x:c r="C2" s="6" t="n">
        <x:v>110</x:v>
      </x:c>
      <x:c r="D2" s="2" t="str">
        <x:v>WARNING</x:v>
      </x:c>
      <x:c r="E2" s="2" t="str">
        <x:v>Canonical item model aggregates repeated order-product rows rather than deleting them.</x:v>
      </x:c>
    </x:row>
    <x:row r="3">
      <x:c r="A3" s="2" t="str">
        <x:v>duplicate_like</x:v>
      </x:c>
      <x:c r="B3" s="2" t="str">
        <x:v>exact_duplicate_order_item_extra_rows</x:v>
      </x:c>
      <x:c r="C3" s="6" t="n">
        <x:v>73</x:v>
      </x:c>
      <x:c r="D3" s="2" t="str">
        <x:v>WARNING</x:v>
      </x:c>
      <x:c r="E3" s="2" t="str">
        <x:v>Do not delete automatically; source lacks order_item_id and totals reconcile.</x:v>
      </x:c>
    </x:row>
    <x:row r="4">
      <x:c r="A4" s="2" t="str">
        <x:v>foreign_key</x:v>
      </x:c>
      <x:c r="B4" s="2" t="str">
        <x:v>orphan_events_product_nonnull</x:v>
      </x:c>
      <x:c r="C4" s="6" t="n">
        <x:v>0</x:v>
      </x:c>
      <x:c r="D4" s="2" t="str">
        <x:v>PASS</x:v>
      </x:c>
      <x:c r="E4" s="2" t="str">
        <x:v>Non-null event product_ids absent from products.</x:v>
      </x:c>
    </x:row>
    <x:row r="5">
      <x:c r="A5" s="2" t="str">
        <x:v>foreign_key</x:v>
      </x:c>
      <x:c r="B5" s="2" t="str">
        <x:v>orphan_events_session</x:v>
      </x:c>
      <x:c r="C5" s="6" t="n">
        <x:v>0</x:v>
      </x:c>
      <x:c r="D5" s="2" t="str">
        <x:v>PASS</x:v>
      </x:c>
      <x:c r="E5" s="2" t="str">
        <x:v>Events whose session_id is absent from sessions.</x:v>
      </x:c>
    </x:row>
    <x:row r="6">
      <x:c r="A6" s="2" t="str">
        <x:v>foreign_key</x:v>
      </x:c>
      <x:c r="B6" s="2" t="str">
        <x:v>orphan_order_items_order</x:v>
      </x:c>
      <x:c r="C6" s="6" t="n">
        <x:v>0</x:v>
      </x:c>
      <x:c r="D6" s="2" t="str">
        <x:v>PASS</x:v>
      </x:c>
      <x:c r="E6" s="2" t="str">
        <x:v>Order items whose order_id is absent from orders.</x:v>
      </x:c>
    </x:row>
    <x:row r="7">
      <x:c r="A7" s="2" t="str">
        <x:v>foreign_key</x:v>
      </x:c>
      <x:c r="B7" s="2" t="str">
        <x:v>orphan_order_items_product</x:v>
      </x:c>
      <x:c r="C7" s="6" t="n">
        <x:v>0</x:v>
      </x:c>
      <x:c r="D7" s="2" t="str">
        <x:v>PASS</x:v>
      </x:c>
      <x:c r="E7" s="2" t="str">
        <x:v>Order items whose product_id is absent from products.</x:v>
      </x:c>
    </x:row>
    <x:row r="8">
      <x:c r="A8" s="2" t="str">
        <x:v>foreign_key</x:v>
      </x:c>
      <x:c r="B8" s="2" t="str">
        <x:v>orphan_orders_customer</x:v>
      </x:c>
      <x:c r="C8" s="6" t="n">
        <x:v>0</x:v>
      </x:c>
      <x:c r="D8" s="2" t="str">
        <x:v>PASS</x:v>
      </x:c>
      <x:c r="E8" s="2" t="str">
        <x:v>Orders whose customer_id is absent from customers.</x:v>
      </x:c>
    </x:row>
    <x:row r="9">
      <x:c r="A9" s="2" t="str">
        <x:v>foreign_key</x:v>
      </x:c>
      <x:c r="B9" s="2" t="str">
        <x:v>orphan_reviews_order</x:v>
      </x:c>
      <x:c r="C9" s="6" t="n">
        <x:v>0</x:v>
      </x:c>
      <x:c r="D9" s="2" t="str">
        <x:v>PASS</x:v>
      </x:c>
      <x:c r="E9" s="2" t="str">
        <x:v>Reviews whose order_id is absent from orders.</x:v>
      </x:c>
    </x:row>
    <x:row r="10">
      <x:c r="A10" s="2" t="str">
        <x:v>foreign_key</x:v>
      </x:c>
      <x:c r="B10" s="2" t="str">
        <x:v>orphan_reviews_product</x:v>
      </x:c>
      <x:c r="C10" s="6" t="n">
        <x:v>0</x:v>
      </x:c>
      <x:c r="D10" s="2" t="str">
        <x:v>PASS</x:v>
      </x:c>
      <x:c r="E10" s="2" t="str">
        <x:v>Reviews whose product_id is absent from products.</x:v>
      </x:c>
    </x:row>
    <x:row r="11">
      <x:c r="A11" s="2" t="str">
        <x:v>foreign_key</x:v>
      </x:c>
      <x:c r="B11" s="2" t="str">
        <x:v>orphan_sessions_customer</x:v>
      </x:c>
      <x:c r="C11" s="6" t="n">
        <x:v>0</x:v>
      </x:c>
      <x:c r="D11" s="2" t="str">
        <x:v>PASS</x:v>
      </x:c>
      <x:c r="E11" s="2" t="str">
        <x:v>Sessions whose customer_id is absent from customers.</x:v>
      </x:c>
    </x:row>
    <x:row r="12">
      <x:c r="A12" s="2" t="str">
        <x:v>join_cardinality</x:v>
      </x:c>
      <x:c r="B12" s="2" t="str">
        <x:v>max_source_lines_per_order</x:v>
      </x:c>
      <x:c r="C12" s="6" t="n">
        <x:v>7</x:v>
      </x:c>
      <x:c r="D12" s="2" t="str">
        <x:v>PASS</x:v>
      </x:c>
      <x:c r="E12" s="2" t="str">
        <x:v>Expected one-to-many relationship; aggregate items before order-level metrics.</x:v>
      </x:c>
    </x:row>
    <x:row r="13">
      <x:c r="A13" s="2" t="str">
        <x:v>join_cardinality</x:v>
      </x:c>
      <x:c r="B13" s="2" t="str">
        <x:v>orders_without_items</x:v>
      </x:c>
      <x:c r="C13" s="6" t="n">
        <x:v>0</x:v>
      </x:c>
      <x:c r="D13" s="2" t="str">
        <x:v>PASS</x:v>
      </x:c>
      <x:c r="E13" s="2" t="str">
        <x:v>Every order should have at least one order-item row.</x:v>
      </x:c>
    </x:row>
    <x:row r="14">
      <x:c r="A14" s="2" t="str">
        <x:v>join_cardinality</x:v>
      </x:c>
      <x:c r="B14" s="2" t="str">
        <x:v>reviews_product_not_in_order</x:v>
      </x:c>
      <x:c r="C14" s="6" t="n">
        <x:v>0</x:v>
      </x:c>
      <x:c r="D14" s="2" t="str">
        <x:v>PASS</x:v>
      </x:c>
      <x:c r="E14" s="2" t="str">
        <x:v>Reviewed product should appear in the reviewed order.</x:v>
      </x:c>
    </x:row>
    <x:row r="15">
      <x:c r="A15" s="2" t="str">
        <x:v>null_check</x:v>
      </x:c>
      <x:c r="B15" s="2" t="str">
        <x:v>customers_required_null_rows</x:v>
      </x:c>
      <x:c r="C15" s="6" t="n">
        <x:v>0</x:v>
      </x:c>
      <x:c r="D15" s="2" t="str">
        <x:v>PASS</x:v>
      </x:c>
      <x:c r="E15" s="2" t="str">
        <x:v>Rows with a null in a required customer field.</x:v>
      </x:c>
    </x:row>
    <x:row r="16">
      <x:c r="A16" s="2" t="str">
        <x:v>null_check</x:v>
      </x:c>
      <x:c r="B16" s="2" t="str">
        <x:v>events_required_null_rows</x:v>
      </x:c>
      <x:c r="C16" s="6" t="n">
        <x:v>0</x:v>
      </x:c>
      <x:c r="D16" s="2" t="str">
        <x:v>PASS</x:v>
      </x:c>
      <x:c r="E16" s="2" t="str">
        <x:v>Rows with a null in a required event field; event product attributes are stage-dependent and optional.</x:v>
      </x:c>
    </x:row>
    <x:row r="17">
      <x:c r="A17" s="2" t="str">
        <x:v>null_check</x:v>
      </x:c>
      <x:c r="B17" s="2" t="str">
        <x:v>order_items_required_null_rows</x:v>
      </x:c>
      <x:c r="C17" s="6" t="n">
        <x:v>0</x:v>
      </x:c>
      <x:c r="D17" s="2" t="str">
        <x:v>PASS</x:v>
      </x:c>
      <x:c r="E17" s="2" t="str">
        <x:v>Rows with a null in a required order-item field.</x:v>
      </x:c>
    </x:row>
    <x:row r="18">
      <x:c r="A18" s="2" t="str">
        <x:v>null_check</x:v>
      </x:c>
      <x:c r="B18" s="2" t="str">
        <x:v>orders_required_null_rows</x:v>
      </x:c>
      <x:c r="C18" s="6" t="n">
        <x:v>0</x:v>
      </x:c>
      <x:c r="D18" s="2" t="str">
        <x:v>PASS</x:v>
      </x:c>
      <x:c r="E18" s="2" t="str">
        <x:v>Rows with a null in a required order field.</x:v>
      </x:c>
    </x:row>
    <x:row r="19">
      <x:c r="A19" s="2" t="str">
        <x:v>null_check</x:v>
      </x:c>
      <x:c r="B19" s="2" t="str">
        <x:v>products_required_null_rows</x:v>
      </x:c>
      <x:c r="C19" s="6" t="n">
        <x:v>0</x:v>
      </x:c>
      <x:c r="D19" s="2" t="str">
        <x:v>PASS</x:v>
      </x:c>
      <x:c r="E19" s="2" t="str">
        <x:v>Rows with a null in a required product field.</x:v>
      </x:c>
    </x:row>
    <x:row r="20">
      <x:c r="A20" s="2" t="str">
        <x:v>null_check</x:v>
      </x:c>
      <x:c r="B20" s="2" t="str">
        <x:v>reviews_required_null_rows</x:v>
      </x:c>
      <x:c r="C20" s="6" t="n">
        <x:v>0</x:v>
      </x:c>
      <x:c r="D20" s="2" t="str">
        <x:v>PASS</x:v>
      </x:c>
      <x:c r="E20" s="2" t="str">
        <x:v>Rows with a null in a required review field.</x:v>
      </x:c>
    </x:row>
    <x:row r="21">
      <x:c r="A21" s="2" t="str">
        <x:v>null_check</x:v>
      </x:c>
      <x:c r="B21" s="2" t="str">
        <x:v>sessions_required_null_rows</x:v>
      </x:c>
      <x:c r="C21" s="6" t="n">
        <x:v>0</x:v>
      </x:c>
      <x:c r="D21" s="2" t="str">
        <x:v>PASS</x:v>
      </x:c>
      <x:c r="E21" s="2" t="str">
        <x:v>Rows with a null in a required session field.</x:v>
      </x:c>
    </x:row>
    <x:row r="22">
      <x:c r="A22" s="2" t="str">
        <x:v>primary_key</x:v>
      </x:c>
      <x:c r="B22" s="2" t="str">
        <x:v>duplicate_customer_ids</x:v>
      </x:c>
      <x:c r="C22" s="6" t="n">
        <x:v>0</x:v>
      </x:c>
      <x:c r="D22" s="2" t="str">
        <x:v>PASS</x:v>
      </x:c>
      <x:c r="E22" s="2" t="str">
        <x:v>customer_id should be unique and non-null.</x:v>
      </x:c>
    </x:row>
    <x:row r="23">
      <x:c r="A23" s="2" t="str">
        <x:v>primary_key</x:v>
      </x:c>
      <x:c r="B23" s="2" t="str">
        <x:v>duplicate_event_ids</x:v>
      </x:c>
      <x:c r="C23" s="6" t="n">
        <x:v>0</x:v>
      </x:c>
      <x:c r="D23" s="2" t="str">
        <x:v>PASS</x:v>
      </x:c>
      <x:c r="E23" s="2" t="str">
        <x:v>event_id should be unique and non-null.</x:v>
      </x:c>
    </x:row>
    <x:row r="24">
      <x:c r="A24" s="2" t="str">
        <x:v>primary_key</x:v>
      </x:c>
      <x:c r="B24" s="2" t="str">
        <x:v>duplicate_order_ids</x:v>
      </x:c>
      <x:c r="C24" s="6" t="n">
        <x:v>0</x:v>
      </x:c>
      <x:c r="D24" s="2" t="str">
        <x:v>PASS</x:v>
      </x:c>
      <x:c r="E24" s="2" t="str">
        <x:v>order_id should be unique and non-null.</x:v>
      </x:c>
    </x:row>
    <x:row r="25">
      <x:c r="A25" s="2" t="str">
        <x:v>primary_key</x:v>
      </x:c>
      <x:c r="B25" s="2" t="str">
        <x:v>duplicate_product_ids</x:v>
      </x:c>
      <x:c r="C25" s="6" t="n">
        <x:v>0</x:v>
      </x:c>
      <x:c r="D25" s="2" t="str">
        <x:v>PASS</x:v>
      </x:c>
      <x:c r="E25" s="2" t="str">
        <x:v>product_id should be unique and non-null.</x:v>
      </x:c>
    </x:row>
    <x:row r="26">
      <x:c r="A26" s="2" t="str">
        <x:v>primary_key</x:v>
      </x:c>
      <x:c r="B26" s="2" t="str">
        <x:v>duplicate_review_ids</x:v>
      </x:c>
      <x:c r="C26" s="6" t="n">
        <x:v>0</x:v>
      </x:c>
      <x:c r="D26" s="2" t="str">
        <x:v>PASS</x:v>
      </x:c>
      <x:c r="E26" s="2" t="str">
        <x:v>review_id should be unique and non-null.</x:v>
      </x:c>
    </x:row>
    <x:row r="27">
      <x:c r="A27" s="2" t="str">
        <x:v>primary_key</x:v>
      </x:c>
      <x:c r="B27" s="2" t="str">
        <x:v>duplicate_session_ids</x:v>
      </x:c>
      <x:c r="C27" s="6" t="n">
        <x:v>0</x:v>
      </x:c>
      <x:c r="D27" s="2" t="str">
        <x:v>PASS</x:v>
      </x:c>
      <x:c r="E27" s="2" t="str">
        <x:v>session_id should be unique and non-null.</x:v>
      </x:c>
    </x:row>
    <x:row r="28">
      <x:c r="A28" s="2" t="str">
        <x:v>reconciliation</x:v>
      </x:c>
      <x:c r="B28" s="2" t="str">
        <x:v>orders_with_discount_total_mismatch</x:v>
      </x:c>
      <x:c r="C28" s="6" t="n">
        <x:v>0</x:v>
      </x:c>
      <x:c r="D28" s="2" t="str">
        <x:v>PASS</x:v>
      </x:c>
      <x:c r="E28" s="2" t="str">
        <x:v>Rounded subtotal less stated discount percentage should equal order total within 0.01 USD.</x:v>
      </x:c>
    </x:row>
    <x:row r="29">
      <x:c r="A29" s="2" t="str">
        <x:v>reconciliation</x:v>
      </x:c>
      <x:c r="B29" s="2" t="str">
        <x:v>orders_with_item_subtotal_mismatch</x:v>
      </x:c>
      <x:c r="C29" s="6" t="n">
        <x:v>0</x:v>
      </x:c>
      <x:c r="D29" s="2" t="str">
        <x:v>PASS</x:v>
      </x:c>
      <x:c r="E29" s="2" t="str">
        <x:v>Order-item line totals should reconcile to order subtotal within 0.01 USD.</x:v>
      </x:c>
    </x:row>
    <x:row r="30">
      <x:c r="A30" s="2" t="str">
        <x:v>row_count</x:v>
      </x:c>
      <x:c r="B30" s="2" t="str">
        <x:v>customers_rows</x:v>
      </x:c>
      <x:c r="C30" s="6" t="n">
        <x:v>20000</x:v>
      </x:c>
      <x:c r="D30" s="2" t="str">
        <x:v>PASS</x:v>
      </x:c>
      <x:c r="E30" s="2" t="str">
        <x:v>Source row count; expected from the loaded file.</x:v>
      </x:c>
    </x:row>
    <x:row r="31">
      <x:c r="A31" s="2" t="str">
        <x:v>row_count</x:v>
      </x:c>
      <x:c r="B31" s="2" t="str">
        <x:v>events_rows</x:v>
      </x:c>
      <x:c r="C31" s="6" t="n">
        <x:v>760958</x:v>
      </x:c>
      <x:c r="D31" s="2" t="str">
        <x:v>PASS</x:v>
      </x:c>
      <x:c r="E31" s="2" t="str">
        <x:v>Source row count.</x:v>
      </x:c>
    </x:row>
    <x:row r="32">
      <x:c r="A32" s="2" t="str">
        <x:v>row_count</x:v>
      </x:c>
      <x:c r="B32" s="2" t="str">
        <x:v>order_items_rows</x:v>
      </x:c>
      <x:c r="C32" s="6" t="n">
        <x:v>59163</x:v>
      </x:c>
      <x:c r="D32" s="2" t="str">
        <x:v>PASS</x:v>
      </x:c>
      <x:c r="E32" s="2" t="str">
        <x:v>Source row count.</x:v>
      </x:c>
    </x:row>
    <x:row r="33">
      <x:c r="A33" s="2" t="str">
        <x:v>row_count</x:v>
      </x:c>
      <x:c r="B33" s="2" t="str">
        <x:v>orders_rows</x:v>
      </x:c>
      <x:c r="C33" s="6" t="n">
        <x:v>33580</x:v>
      </x:c>
      <x:c r="D33" s="2" t="str">
        <x:v>PASS</x:v>
      </x:c>
      <x:c r="E33" s="2" t="str">
        <x:v>Source row count.</x:v>
      </x:c>
    </x:row>
    <x:row r="34">
      <x:c r="A34" s="2" t="str">
        <x:v>row_count</x:v>
      </x:c>
      <x:c r="B34" s="2" t="str">
        <x:v>products_rows</x:v>
      </x:c>
      <x:c r="C34" s="6" t="n">
        <x:v>1197</x:v>
      </x:c>
      <x:c r="D34" s="2" t="str">
        <x:v>PASS</x:v>
      </x:c>
      <x:c r="E34" s="2" t="str">
        <x:v>Source row count.</x:v>
      </x:c>
    </x:row>
    <x:row r="35">
      <x:c r="A35" s="2" t="str">
        <x:v>row_count</x:v>
      </x:c>
      <x:c r="B35" s="2" t="str">
        <x:v>reviews_rows</x:v>
      </x:c>
      <x:c r="C35" s="6" t="n">
        <x:v>10780</x:v>
      </x:c>
      <x:c r="D35" s="2" t="str">
        <x:v>PASS</x:v>
      </x:c>
      <x:c r="E35" s="2" t="str">
        <x:v>Source row count.</x:v>
      </x:c>
    </x:row>
    <x:row r="36">
      <x:c r="A36" s="2" t="str">
        <x:v>row_count</x:v>
      </x:c>
      <x:c r="B36" s="2" t="str">
        <x:v>sessions_rows</x:v>
      </x:c>
      <x:c r="C36" s="6" t="n">
        <x:v>120000</x:v>
      </x:c>
      <x:c r="D36" s="2" t="str">
        <x:v>PASS</x:v>
      </x:c>
      <x:c r="E36" s="2" t="str">
        <x:v>Source row count.</x:v>
      </x:c>
    </x:row>
    <x:row r="37">
      <x:c r="A37" s="2" t="str">
        <x:v>timestamp_anomaly</x:v>
      </x:c>
      <x:c r="B37" s="2" t="str">
        <x:v>checkout_before_add_to_cart_sessions</x:v>
      </x:c>
      <x:c r="C37" s="6" t="n">
        <x:v>118</x:v>
      </x:c>
      <x:c r="D37" s="2" t="str">
        <x:v>LIMITATION</x:v>
      </x:c>
      <x:c r="E37" s="2" t="str">
        <x:v>Sessions whose first checkout timestamp precedes first add-to-cart timestamp.</x:v>
      </x:c>
    </x:row>
    <x:row r="38">
      <x:c r="A38" s="2" t="str">
        <x:v>timestamp_anomaly</x:v>
      </x:c>
      <x:c r="B38" s="2" t="str">
        <x:v>orders_before_signup</x:v>
      </x:c>
      <x:c r="C38" s="6" t="n">
        <x:v>16923</x:v>
      </x:c>
      <x:c r="D38" s="2" t="str">
        <x:v>LIMITATION</x:v>
      </x:c>
      <x:c r="E38" s="2" t="str">
        <x:v>Synthetic-data chronology limitation; first-purchase cohort therefore uses orders only.</x:v>
      </x:c>
    </x:row>
    <x:row r="39">
      <x:c r="A39" s="2" t="str">
        <x:v>timestamp_anomaly</x:v>
      </x:c>
      <x:c r="B39" s="2" t="str">
        <x:v>reviews_before_order</x:v>
      </x:c>
      <x:c r="C39" s="6" t="n">
        <x:v>5482</x:v>
      </x:c>
      <x:c r="D39" s="2" t="str">
        <x:v>LIMITATION</x:v>
      </x:c>
      <x:c r="E39" s="2" t="str">
        <x:v>Synthetic-data chronology limitation; review timing is out of scope.</x:v>
      </x:c>
    </x:row>
    <x:row r="40">
      <x:c r="A40" s="2" t="str">
        <x:v>timestamp_anomaly</x:v>
      </x:c>
      <x:c r="B40" s="2" t="str">
        <x:v>sessions_before_signup</x:v>
      </x:c>
      <x:c r="C40" s="6" t="n">
        <x:v>60411</x:v>
      </x:c>
      <x:c r="D40" s="2" t="str">
        <x:v>LIMITATION</x:v>
      </x:c>
      <x:c r="E40" s="2" t="str">
        <x:v>Synthetic-data chronology limitation; do not use signup_date for lifecycle inference.</x:v>
      </x:c>
    </x:row>
    <x:row r="41">
      <x:c r="A41" s="2" t="str">
        <x:v>validity</x:v>
      </x:c>
      <x:c r="B41" s="2" t="str">
        <x:v>invalid_customer_age_rows</x:v>
      </x:c>
      <x:c r="C41" s="6" t="n">
        <x:v>0</x:v>
      </x:c>
      <x:c r="D41" s="2" t="str">
        <x:v>PASS</x:v>
      </x:c>
      <x:c r="E41" s="2" t="str">
        <x:v>Age must be greater than zero and no more than 120.</x:v>
      </x:c>
    </x:row>
    <x:row r="42">
      <x:c r="A42" s="2" t="str">
        <x:v>validity</x:v>
      </x:c>
      <x:c r="B42" s="2" t="str">
        <x:v>invalid_order_item_rows</x:v>
      </x:c>
      <x:c r="C42" s="6" t="n">
        <x:v>0</x:v>
      </x:c>
      <x:c r="D42" s="2" t="str">
        <x:v>PASS</x:v>
      </x:c>
      <x:c r="E42" s="2" t="str">
        <x:v>Order-item quantity must be positive and monetary values non-negative.</x:v>
      </x:c>
    </x:row>
    <x:row r="43">
      <x:c r="A43" s="2" t="str">
        <x:v>validity</x:v>
      </x:c>
      <x:c r="B43" s="2" t="str">
        <x:v>invalid_order_value_rows</x:v>
      </x:c>
      <x:c r="C43" s="6" t="n">
        <x:v>0</x:v>
      </x:c>
      <x:c r="D43" s="2" t="str">
        <x:v>PASS</x:v>
      </x:c>
      <x:c r="E43" s="2" t="str">
        <x:v>Order values must be non-negative and net total cannot exceed subtotal.</x:v>
      </x:c>
    </x:row>
    <x:row r="44">
      <x:c r="A44" s="2" t="str">
        <x:v>validity</x:v>
      </x:c>
      <x:c r="B44" s="2" t="str">
        <x:v>invalid_product_value_rows</x:v>
      </x:c>
      <x:c r="C44" s="6" t="n">
        <x:v>0</x:v>
      </x:c>
      <x:c r="D44" s="2" t="str">
        <x:v>PASS</x:v>
      </x:c>
      <x:c r="E44" s="2" t="str">
        <x:v>Product price and cost must be non-negative.</x:v>
      </x:c>
    </x:row>
    <x:row r="45">
      <x:c r="A45" s="2" t="str">
        <x:v>validity</x:v>
      </x:c>
      <x:c r="B45" s="2" t="str">
        <x:v>invalid_review_rating_rows</x:v>
      </x:c>
      <x:c r="C45" s="6" t="n">
        <x:v>0</x:v>
      </x:c>
      <x:c r="D45" s="2" t="str">
        <x:v>PASS</x:v>
      </x:c>
      <x:c r="E45" s="2" t="str">
        <x:v>Review rating must be between 1 and 5.</x:v>
      </x:c>
    </x:row>
    <x:row r="46">
      <x:c r="A46" s="2" t="str">
        <x:v>validity</x:v>
      </x:c>
      <x:c r="B46" s="2" t="str">
        <x:v>order_item_extension_mismatch_rows</x:v>
      </x:c>
      <x:c r="C46" s="6" t="n">
        <x:v>0</x:v>
      </x:c>
      <x:c r="D46" s="2" t="str">
        <x:v>PASS</x:v>
      </x:c>
      <x:c r="E46" s="2" t="str">
        <x:v>Line total should equal unit price multiplied by quantity within 0.01 USD.</x:v>
      </x:c>
    </x:row>
    <x:row r="47">
      <x:c r="A47" s="2" t="str">
        <x:v>validity</x:v>
      </x:c>
      <x:c r="B47" s="2" t="str">
        <x:v>product_margin_mismatch_rows</x:v>
      </x:c>
      <x:c r="C47" s="6" t="n">
        <x:v>0</x:v>
      </x:c>
      <x:c r="D47" s="2" t="str">
        <x:v>PASS</x:v>
      </x:c>
      <x:c r="E47" s="2" t="str">
        <x:v>Stored product margin should equal price less cost within 0.01 USD.</x:v>
      </x:c>
    </x:row>
    <x:row r="48">
      <x:c r="A48" s="2" t="str">
        <x:v>validity</x:v>
      </x:c>
      <x:c r="B48" s="2" t="str">
        <x:v>unexpected_discount_values</x:v>
      </x:c>
      <x:c r="C48" s="6" t="n">
        <x:v>0</x:v>
      </x:c>
      <x:c r="D48" s="2" t="str">
        <x:v>PASS</x:v>
      </x:c>
      <x:c r="E48" s="2" t="str">
        <x:v>Expected synthetic discount levels are 0, 5, 10, 15, and 20 percent.</x:v>
      </x:c>
    </x:row>
    <x:row r="49">
      <x:c r="A49" s="2" t="str">
        <x:v>validity</x:v>
      </x:c>
      <x:c r="B49" s="2" t="str">
        <x:v>unexpected_event_type_rows</x:v>
      </x:c>
      <x:c r="C49" s="6" t="n">
        <x:v>0</x:v>
      </x:c>
      <x:c r="D49" s="2" t="str">
        <x:v>PASS</x:v>
      </x:c>
      <x:c r="E49" s="2" t="str">
        <x:v>Event type should belong to the documented customer-journey stages.</x:v>
      </x:c>
    </x:row>
  </x:sheetData>
  <x:conditionalFormatting sqref="D2:D49">
    <x:cfRule type="containsText" dxfId="0" priority="1" operator="containsText" text="PASS"/>
    <x:cfRule type="containsText" dxfId="1" priority="2" operator="containsText" text="WARNING"/>
    <x:cfRule type="containsText" dxfId="2" priority="3" operator="containsText" text="LIMITATIO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76" hidden="0" customWidth="1"/>
  </x:cols>
  <x:sheetData>
    <x:row r="1" ht="32" customHeight="1">
      <x:c r="A1" s="5" t="str">
        <x:v>profile_metric</x:v>
      </x:c>
      <x:c r="B1" s="5" t="str">
        <x:v>min_value</x:v>
      </x:c>
      <x:c r="C1" s="5" t="str">
        <x:v>max_value</x:v>
      </x:c>
      <x:c r="D1" s="5" t="str">
        <x:v>avg_value</x:v>
      </x:c>
      <x:c r="E1" s="5" t="str">
        <x:v>population_rows</x:v>
      </x:c>
      <x:c r="F1" s="5" t="str">
        <x:v>interpretation</x:v>
      </x:c>
    </x:row>
    <x:row r="2">
      <x:c r="A2" s="2" t="str">
        <x:v>customer_age</x:v>
      </x:c>
      <x:c r="B2" s="7" t="n">
        <x:v>18</x:v>
      </x:c>
      <x:c r="C2" s="7" t="n">
        <x:v>75</x:v>
      </x:c>
      <x:c r="D2" s="7" t="n">
        <x:v>46.4926</x:v>
      </x:c>
      <x:c r="E2" s="6" t="n">
        <x:v>20000</x:v>
      </x:c>
      <x:c r="F2" s="2" t="str">
        <x:v>Profile only; values are not removed based on range alone.</x:v>
      </x:c>
    </x:row>
    <x:row r="3">
      <x:c r="A3" s="2" t="str">
        <x:v>events_per_session</x:v>
      </x:c>
      <x:c r="B3" s="7" t="n">
        <x:v>1</x:v>
      </x:c>
      <x:c r="C3" s="7" t="n">
        <x:v>17</x:v>
      </x:c>
      <x:c r="D3" s="7" t="n">
        <x:v>6.3413</x:v>
      </x:c>
      <x:c r="E3" s="6" t="n">
        <x:v>120000</x:v>
      </x:c>
      <x:c r="F3" s="2" t="str">
        <x:v>Session event-count distribution; no rows are removed as outliers.</x:v>
      </x:c>
    </x:row>
    <x:row r="4">
      <x:c r="A4" s="2" t="str">
        <x:v>order_item_quantity</x:v>
      </x:c>
      <x:c r="B4" s="7" t="n">
        <x:v>1</x:v>
      </x:c>
      <x:c r="C4" s="7" t="n">
        <x:v>4</x:v>
      </x:c>
      <x:c r="D4" s="7" t="n">
        <x:v>1.3033</x:v>
      </x:c>
      <x:c r="E4" s="6" t="n">
        <x:v>59163</x:v>
      </x:c>
      <x:c r="F4" s="2" t="str">
        <x:v>Source-line quantity distribution.</x:v>
      </x:c>
    </x:row>
    <x:row r="5">
      <x:c r="A5" s="2" t="str">
        <x:v>order_subtotal_usd</x:v>
      </x:c>
      <x:c r="B5" s="7" t="n">
        <x:v>3.5</x:v>
      </x:c>
      <x:c r="C5" s="7" t="n">
        <x:v>3141.66</x:v>
      </x:c>
      <x:c r="D5" s="7" t="n">
        <x:v>144.0026</x:v>
      </x:c>
      <x:c r="E5" s="6" t="n">
        <x:v>33580</x:v>
      </x:c>
      <x:c r="F5" s="2" t="str">
        <x:v>Gross basket value before discount.</x:v>
      </x:c>
    </x:row>
    <x:row r="6">
      <x:c r="A6" s="2" t="str">
        <x:v>order_total_usd</x:v>
      </x:c>
      <x:c r="B6" s="7" t="n">
        <x:v>2.8</x:v>
      </x:c>
      <x:c r="C6" s="7" t="n">
        <x:v>2984.58</x:v>
      </x:c>
      <x:c r="D6" s="7" t="n">
        <x:v>133.8064</x:v>
      </x:c>
      <x:c r="E6" s="6" t="n">
        <x:v>33580</x:v>
      </x:c>
      <x:c r="F6" s="2" t="str">
        <x:v>Net order value after discount.</x:v>
      </x:c>
    </x:row>
    <x:row r="7">
      <x:c r="A7" s="2" t="str">
        <x:v>product_cost_usd</x:v>
      </x:c>
      <x:c r="B7" s="7" t="n">
        <x:v>2.21</x:v>
      </x:c>
      <x:c r="C7" s="7" t="n">
        <x:v>446.1</x:v>
      </x:c>
      <x:c r="D7" s="7" t="n">
        <x:v>77.6265</x:v>
      </x:c>
      <x:c r="E7" s="6" t="n">
        <x:v>1197</x:v>
      </x:c>
      <x:c r="F7" s="2" t="str">
        <x:v>Catalog product-cost distribution.</x:v>
      </x:c>
    </x:row>
    <x:row r="8">
      <x:c r="A8" s="2" t="str">
        <x:v>product_price_usd</x:v>
      </x:c>
      <x:c r="B8" s="7" t="n">
        <x:v>3.5</x:v>
      </x:c>
      <x:c r="C8" s="7" t="n">
        <x:v>596.62</x:v>
      </x:c>
      <x:c r="D8" s="7" t="n">
        <x:v>119.9352</x:v>
      </x:c>
      <x:c r="E8" s="6" t="n">
        <x:v>1197</x:v>
      </x:c>
      <x:c r="F8" s="2" t="str">
        <x:v>Catalog price distribution.</x:v>
      </x:c>
    </x:row>
    <x:row r="9">
      <x:c r="A9" s="2" t="str">
        <x:v>source_lines_per_order</x:v>
      </x:c>
      <x:c r="B9" s="7" t="n">
        <x:v>1</x:v>
      </x:c>
      <x:c r="C9" s="7" t="n">
        <x:v>7</x:v>
      </x:c>
      <x:c r="D9" s="7" t="n">
        <x:v>1.7619</x:v>
      </x:c>
      <x:c r="E9" s="6" t="n">
        <x:v>33580</x:v>
      </x:c>
      <x:c r="F9" s="2" t="str">
        <x:v>Use this profile to confirm the one-to-many orders-to-items relationship.</x:v>
      </x:c>
    </x:row>
  </x:sheetData>
  <x:conditionalFormatting sqref="A2:F9">
    <x:cfRule type="expression" dxfId="3" priority="1">
      <x:formula>MOD(ROW(),2)=0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5" hidden="0" customWidth="1"/>
    <x:col min="3" max="3" width="18" hidden="0" customWidth="1"/>
    <x:col min="4" max="4" width="18" hidden="0" customWidth="1"/>
    <x:col min="5" max="5" width="12" hidden="0" customWidth="1"/>
    <x:col min="6" max="6" width="74" hidden="0" customWidth="1"/>
  </x:cols>
  <x:sheetData>
    <x:row r="1" ht="32" customHeight="1">
      <x:c r="A1" s="5" t="str">
        <x:v>check_group</x:v>
      </x:c>
      <x:c r="B1" s="5" t="str">
        <x:v>check_name</x:v>
      </x:c>
      <x:c r="C1" s="5" t="str">
        <x:v>expected_value</x:v>
      </x:c>
      <x:c r="D1" s="5" t="str">
        <x:v>actual_value</x:v>
      </x:c>
      <x:c r="E1" s="5" t="str">
        <x:v>status</x:v>
      </x:c>
      <x:c r="F1" s="5" t="str">
        <x:v>interpretation</x:v>
      </x:c>
    </x:row>
    <x:row r="2">
      <x:c r="A2" s="2" t="str">
        <x:v>category_model</x:v>
      </x:c>
      <x:c r="B2" s="2" t="str">
        <x:v>category_net_revenue_reconciles</x:v>
      </x:c>
      <x:c r="C2" s="7" t="n">
        <x:v>4493217.47</x:v>
      </x:c>
      <x:c r="D2" s="7" t="n">
        <x:v>4493217.47</x:v>
      </x:c>
      <x:c r="E2" s="2" t="str">
        <x:v>PASS</x:v>
      </x:c>
      <x:c r="F2" s="2" t="str">
        <x:v>Category net revenue must reconcile to the canonical order model.</x:v>
      </x:c>
    </x:row>
    <x:row r="3">
      <x:c r="A3" s="2" t="str">
        <x:v>cohort_model</x:v>
      </x:c>
      <x:c r="B3" s="2" t="str">
        <x:v>cohort_customers_reconcile</x:v>
      </x:c>
      <x:c r="C3" s="7" t="n">
        <x:v>16268</x:v>
      </x:c>
      <x:c r="D3" s="7" t="n">
        <x:v>16268</x:v>
      </x:c>
      <x:c r="E3" s="2" t="str">
        <x:v>PASS</x:v>
      </x:c>
      <x:c r="F3" s="2" t="str">
        <x:v>First-purchase cohorts cover every purchasing customer once.</x:v>
      </x:c>
    </x:row>
    <x:row r="4">
      <x:c r="A4" s="2" t="str">
        <x:v>customer_model</x:v>
      </x:c>
      <x:c r="B4" s="2" t="str">
        <x:v>customer_counts_reconcile</x:v>
      </x:c>
      <x:c r="C4" s="7" t="n">
        <x:v>16268</x:v>
      </x:c>
      <x:c r="D4" s="7" t="n">
        <x:v>16268</x:v>
      </x:c>
      <x:c r="E4" s="2" t="str">
        <x:v>PASS</x:v>
      </x:c>
      <x:c r="F4" s="2" t="str">
        <x:v>Customer-value model includes every purchasing customer exactly once.</x:v>
      </x:c>
    </x:row>
    <x:row r="5">
      <x:c r="A5" s="2" t="str">
        <x:v>customer_model</x:v>
      </x:c>
      <x:c r="B5" s="2" t="str">
        <x:v>rfm_net_revenue_reconciles</x:v>
      </x:c>
      <x:c r="C5" s="7" t="n">
        <x:v>4493217.47</x:v>
      </x:c>
      <x:c r="D5" s="7" t="n">
        <x:v>4493217.47</x:v>
      </x:c>
      <x:c r="E5" s="2" t="str">
        <x:v>PASS</x:v>
      </x:c>
      <x:c r="F5" s="2" t="str">
        <x:v>RFM monetary uses net customer revenue and must reconcile globally.</x:v>
      </x:c>
    </x:row>
    <x:row r="6">
      <x:c r="A6" s="2" t="str">
        <x:v>funnel_model</x:v>
      </x:c>
      <x:c r="B6" s="2" t="str">
        <x:v>funnel_sessions_reconcile</x:v>
      </x:c>
      <x:c r="C6" s="7" t="n">
        <x:v>120000</x:v>
      </x:c>
      <x:c r="D6" s="7" t="n">
        <x:v>120000</x:v>
      </x:c>
      <x:c r="E6" s="2" t="str">
        <x:v>PASS</x:v>
      </x:c>
      <x:c r="F6" s="2" t="str">
        <x:v>Funnel flag view preserves one row per session.</x:v>
      </x:c>
    </x:row>
    <x:row r="7">
      <x:c r="A7" s="2" t="str">
        <x:v>item_model</x:v>
      </x:c>
      <x:c r="B7" s="2" t="str">
        <x:v>item_cost_reconciles</x:v>
      </x:c>
      <x:c r="C7" s="7" t="n">
        <x:v>3122310.56</x:v>
      </x:c>
      <x:c r="D7" s="7" t="n">
        <x:v>3122310.56</x:v>
      </x:c>
      <x:c r="E7" s="2" t="str">
        <x:v>PASS</x:v>
      </x:c>
      <x:c r="F7" s="2" t="str">
        <x:v>Item costs must reconcile after repeated order-product rows are aggregated.</x:v>
      </x:c>
    </x:row>
    <x:row r="8">
      <x:c r="A8" s="2" t="str">
        <x:v>item_model</x:v>
      </x:c>
      <x:c r="B8" s="2" t="str">
        <x:v>item_net_allocation_reconciles</x:v>
      </x:c>
      <x:c r="C8" s="7" t="n">
        <x:v>4493217.47</x:v>
      </x:c>
      <x:c r="D8" s="7" t="n">
        <x:v>4493217.47</x:v>
      </x:c>
      <x:c r="E8" s="2" t="str">
        <x:v>PASS</x:v>
      </x:c>
      <x:c r="F8" s="2" t="str">
        <x:v>Allocated item net revenue must return to total order net revenue.</x:v>
      </x:c>
    </x:row>
    <x:row r="9">
      <x:c r="A9" s="2" t="str">
        <x:v>item_model</x:v>
      </x:c>
      <x:c r="B9" s="2" t="str">
        <x:v>item_net_profit_reconciles</x:v>
      </x:c>
      <x:c r="C9" s="7" t="n">
        <x:v>1370906.91</x:v>
      </x:c>
      <x:c r="D9" s="7" t="n">
        <x:v>1370906.91</x:v>
      </x:c>
      <x:c r="E9" s="2" t="str">
        <x:v>PASS</x:v>
      </x:c>
      <x:c r="F9" s="2" t="str">
        <x:v>Allocated item profit must return to canonical order-level profit.</x:v>
      </x:c>
    </x:row>
    <x:row r="10">
      <x:c r="A10" s="2" t="str">
        <x:v>order_model</x:v>
      </x:c>
      <x:c r="B10" s="2" t="str">
        <x:v>net_revenue_reconciles</x:v>
      </x:c>
      <x:c r="C10" s="7" t="n">
        <x:v>4493217.47</x:v>
      </x:c>
      <x:c r="D10" s="7" t="n">
        <x:v>4493217.47</x:v>
      </x:c>
      <x:c r="E10" s="2" t="str">
        <x:v>PASS</x:v>
      </x:c>
      <x:c r="F10" s="2" t="str">
        <x:v>Order-model net revenue must equal orders.total_usd.</x:v>
      </x:c>
    </x:row>
    <x:row r="11">
      <x:c r="A11" s="2" t="str">
        <x:v>order_model</x:v>
      </x:c>
      <x:c r="B11" s="2" t="str">
        <x:v>order_id_is_unique</x:v>
      </x:c>
      <x:c r="C11" s="7" t="n">
        <x:v>33580</x:v>
      </x:c>
      <x:c r="D11" s="7" t="n">
        <x:v>33580</x:v>
      </x:c>
      <x:c r="E11" s="2" t="str">
        <x:v>PASS</x:v>
      </x:c>
      <x:c r="F11" s="2" t="str">
        <x:v>order_id must remain unique after item aggregation and joins.</x:v>
      </x:c>
    </x:row>
    <x:row r="12">
      <x:c r="A12" s="2" t="str">
        <x:v>order_model</x:v>
      </x:c>
      <x:c r="B12" s="2" t="str">
        <x:v>order_rows_reconcile</x:v>
      </x:c>
      <x:c r="C12" s="7" t="n">
        <x:v>33580</x:v>
      </x:c>
      <x:c r="D12" s="7" t="n">
        <x:v>33580</x:v>
      </x:c>
      <x:c r="E12" s="2" t="str">
        <x:v>PASS</x:v>
      </x:c>
      <x:c r="F12" s="2" t="str">
        <x:v>Canonical order model must contain exactly one row per source order.</x:v>
      </x:c>
    </x:row>
    <x:row r="13">
      <x:c r="A13" s="2" t="str">
        <x:v>order_model</x:v>
      </x:c>
      <x:c r="B13" s="2" t="str">
        <x:v>units_reconcile</x:v>
      </x:c>
      <x:c r="C13" s="7" t="n">
        <x:v>77106</x:v>
      </x:c>
      <x:c r="D13" s="7" t="n">
        <x:v>77106</x:v>
      </x:c>
      <x:c r="E13" s="2" t="str">
        <x:v>PASS</x:v>
      </x:c>
      <x:c r="F13" s="2" t="str">
        <x:v>Units are summed from quantity, not source row count.</x:v>
      </x:c>
    </x:row>
  </x:sheetData>
  <x:conditionalFormatting sqref="E2:E13">
    <x:cfRule type="containsText" dxfId="4" priority="1" operator="containsText" text="PASS"/>
    <x:cfRule type="containsText" dxfId="5" priority="2" operator="containsText" text="WARNING"/>
    <x:cfRule type="containsText" dxfId="6" priority="3" operator="containsText" text="LIMITATIO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</x:cols>
  <x:sheetData>
    <x:row r="1" ht="32" customHeight="1">
      <x:c r="A1" s="5" t="str">
        <x:v>stage_order</x:v>
      </x:c>
      <x:c r="B1" s="5" t="str">
        <x:v>stage</x:v>
      </x:c>
      <x:c r="C1" s="5" t="str">
        <x:v>sessions</x:v>
      </x:c>
      <x:c r="D1" s="5" t="str">
        <x:v>step_conversion</x:v>
      </x:c>
      <x:c r="E1" s="5" t="str">
        <x:v>step_drop_off</x:v>
      </x:c>
      <x:c r="F1" s="5" t="str">
        <x:v>overall_conversion</x:v>
      </x:c>
    </x:row>
    <x:row r="2">
      <x:c r="A2" s="2" t="n">
        <x:v>1</x:v>
      </x:c>
      <x:c r="B2" s="2" t="str">
        <x:v>View</x:v>
      </x:c>
      <x:c r="C2" s="6" t="n">
        <x:v>120000</x:v>
      </x:c>
      <x:c r="D2" s="8" t="n">
        <x:v>1</x:v>
      </x:c>
      <x:c r="E2" s="8" t="n">
        <x:v>0</x:v>
      </x:c>
      <x:c r="F2" s="8" t="n">
        <x:v>1</x:v>
      </x:c>
    </x:row>
    <x:row r="3">
      <x:c r="A3" s="2" t="n">
        <x:v>2</x:v>
      </x:c>
      <x:c r="B3" s="2" t="str">
        <x:v>Add to Cart</x:v>
      </x:c>
      <x:c r="C3" s="6" t="n">
        <x:v>81518</x:v>
      </x:c>
      <x:c r="D3" s="8" t="n">
        <x:v>0.6793</x:v>
      </x:c>
      <x:c r="E3" s="8" t="n">
        <x:v>0.3207</x:v>
      </x:c>
      <x:c r="F3" s="8" t="n">
        <x:v>0.6793</x:v>
      </x:c>
    </x:row>
    <x:row r="4">
      <x:c r="A4" s="2" t="n">
        <x:v>3</x:v>
      </x:c>
      <x:c r="B4" s="2" t="str">
        <x:v>Checkout</x:v>
      </x:c>
      <x:c r="C4" s="6" t="n">
        <x:v>44909</x:v>
      </x:c>
      <x:c r="D4" s="8" t="n">
        <x:v>0.5509</x:v>
      </x:c>
      <x:c r="E4" s="8" t="n">
        <x:v>0.4491</x:v>
      </x:c>
      <x:c r="F4" s="8" t="n">
        <x:v>0.3742</x:v>
      </x:c>
    </x:row>
    <x:row r="5">
      <x:c r="A5" s="2" t="n">
        <x:v>4</x:v>
      </x:c>
      <x:c r="B5" s="2" t="str">
        <x:v>Purchase</x:v>
      </x:c>
      <x:c r="C5" s="6" t="n">
        <x:v>33580</x:v>
      </x:c>
      <x:c r="D5" s="8" t="n">
        <x:v>0.7477</x:v>
      </x:c>
      <x:c r="E5" s="8" t="n">
        <x:v>0.2523</x:v>
      </x:c>
      <x:c r="F5" s="8" t="n">
        <x:v>0.2798</x:v>
      </x:c>
    </x:row>
  </x:sheetData>
  <x:conditionalFormatting sqref="A2:F5">
    <x:cfRule type="expression" dxfId="7" priority="1">
      <x:formula>MOD(ROW(),2)=0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8" hidden="0" customWidth="1"/>
    <x:col min="6" max="6" width="25" hidden="0" customWidth="1"/>
    <x:col min="7" max="7" width="24" hidden="0" customWidth="1"/>
    <x:col min="8" max="8" width="15" hidden="0" customWidth="1"/>
    <x:col min="9" max="9" width="22" hidden="0" customWidth="1"/>
    <x:col min="10" max="10" width="15" hidden="0" customWidth="1"/>
    <x:col min="11" max="11" width="28" hidden="0" customWidth="1"/>
  </x:cols>
  <x:sheetData>
    <x:row r="1" ht="32" customHeight="1">
      <x:c r="A1" s="5" t="str">
        <x:v>discount_pct</x:v>
      </x:c>
      <x:c r="B1" s="5" t="str">
        <x:v>orders</x:v>
      </x:c>
      <x:c r="C1" s="5" t="str">
        <x:v>order_share</x:v>
      </x:c>
      <x:c r="D1" s="5" t="str">
        <x:v>total_units</x:v>
      </x:c>
      <x:c r="E1" s="5" t="str">
        <x:v>units_per_order</x:v>
      </x:c>
      <x:c r="F1" s="5" t="str">
        <x:v>gross_basket_value_per_order</x:v>
      </x:c>
      <x:c r="G1" s="5" t="str">
        <x:v>discount_amount_per_order</x:v>
      </x:c>
      <x:c r="H1" s="5" t="str">
        <x:v>net_aov</x:v>
      </x:c>
      <x:c r="I1" s="5" t="str">
        <x:v>net_profit_per_order</x:v>
      </x:c>
      <x:c r="J1" s="5" t="str">
        <x:v>net_margin</x:v>
      </x:c>
      <x:c r="K1" s="5" t="str">
        <x:v>margin_compression_vs_full_price</x:v>
      </x:c>
    </x:row>
    <x:row r="2">
      <x:c r="A2" s="9" t="n">
        <x:v>0</x:v>
      </x:c>
      <x:c r="B2" s="6" t="n">
        <x:v>14253</x:v>
      </x:c>
      <x:c r="C2" s="8" t="n">
        <x:v>0.4244</x:v>
      </x:c>
      <x:c r="D2" s="6" t="n">
        <x:v>32754</x:v>
      </x:c>
      <x:c r="E2" s="10" t="n">
        <x:v>2.298</x:v>
      </x:c>
      <x:c r="F2" s="11" t="n">
        <x:v>144.75319</x:v>
      </x:c>
      <x:c r="G2" s="11" t="n">
        <x:v>0</x:v>
      </x:c>
      <x:c r="H2" s="11" t="n">
        <x:v>144.75319</x:v>
      </x:c>
      <x:c r="I2" s="11" t="n">
        <x:v>51.426357</x:v>
      </x:c>
      <x:c r="J2" s="8" t="n">
        <x:v>0.355269</x:v>
      </x:c>
      <x:c r="K2" s="8" t="n">
        <x:v>0</x:v>
      </x:c>
    </x:row>
    <x:row r="3">
      <x:c r="A3" s="9" t="n">
        <x:v>5</x:v>
      </x:c>
      <x:c r="B3" s="6" t="n">
        <x:v>4910</x:v>
      </x:c>
      <x:c r="C3" s="8" t="n">
        <x:v>0.1462</x:v>
      </x:c>
      <x:c r="D3" s="6" t="n">
        <x:v>11390</x:v>
      </x:c>
      <x:c r="E3" s="10" t="n">
        <x:v>2.3198</x:v>
      </x:c>
      <x:c r="F3" s="11" t="n">
        <x:v>146.820415</x:v>
      </x:c>
      <x:c r="G3" s="11" t="n">
        <x:v>7.341224</x:v>
      </x:c>
      <x:c r="H3" s="11" t="n">
        <x:v>139.479191</x:v>
      </x:c>
      <x:c r="I3" s="11" t="n">
        <x:v>44.521967</x:v>
      </x:c>
      <x:c r="J3" s="8" t="n">
        <x:v>0.319202</x:v>
      </x:c>
      <x:c r="K3" s="8" t="n">
        <x:v>0.036067</x:v>
      </x:c>
    </x:row>
    <x:row r="4">
      <x:c r="A4" s="9" t="n">
        <x:v>10</x:v>
      </x:c>
      <x:c r="B4" s="6" t="n">
        <x:v>4880</x:v>
      </x:c>
      <x:c r="C4" s="8" t="n">
        <x:v>0.1453</x:v>
      </x:c>
      <x:c r="D4" s="6" t="n">
        <x:v>11293</x:v>
      </x:c>
      <x:c r="E4" s="10" t="n">
        <x:v>2.3141</x:v>
      </x:c>
      <x:c r="F4" s="11" t="n">
        <x:v>144.485262</x:v>
      </x:c>
      <x:c r="G4" s="11" t="n">
        <x:v>14.44833</x:v>
      </x:c>
      <x:c r="H4" s="11" t="n">
        <x:v>130.036932</x:v>
      </x:c>
      <x:c r="I4" s="11" t="n">
        <x:v>36.331092</x:v>
      </x:c>
      <x:c r="J4" s="8" t="n">
        <x:v>0.279391</x:v>
      </x:c>
      <x:c r="K4" s="8" t="n">
        <x:v>0.075878</x:v>
      </x:c>
    </x:row>
    <x:row r="5">
      <x:c r="A5" s="9" t="n">
        <x:v>15</x:v>
      </x:c>
      <x:c r="B5" s="6" t="n">
        <x:v>4730</x:v>
      </x:c>
      <x:c r="C5" s="8" t="n">
        <x:v>0.1409</x:v>
      </x:c>
      <x:c r="D5" s="6" t="n">
        <x:v>10793</x:v>
      </x:c>
      <x:c r="E5" s="10" t="n">
        <x:v>2.2818</x:v>
      </x:c>
      <x:c r="F5" s="11" t="n">
        <x:v>141.462309</x:v>
      </x:c>
      <x:c r="G5" s="11" t="n">
        <x:v>21.219374</x:v>
      </x:c>
      <x:c r="H5" s="11" t="n">
        <x:v>120.242934</x:v>
      </x:c>
      <x:c r="I5" s="11" t="n">
        <x:v>28.906427</x:v>
      </x:c>
      <x:c r="J5" s="8" t="n">
        <x:v>0.2404</x:v>
      </x:c>
      <x:c r="K5" s="8" t="n">
        <x:v>0.114869</x:v>
      </x:c>
    </x:row>
    <x:row r="6">
      <x:c r="A6" s="9" t="n">
        <x:v>20</x:v>
      </x:c>
      <x:c r="B6" s="6" t="n">
        <x:v>4807</x:v>
      </x:c>
      <x:c r="C6" s="8" t="n">
        <x:v>0.1432</x:v>
      </x:c>
      <x:c r="D6" s="6" t="n">
        <x:v>10876</x:v>
      </x:c>
      <x:c r="E6" s="10" t="n">
        <x:v>2.2625</x:v>
      </x:c>
      <x:c r="F6" s="11" t="n">
        <x:v>140.908669</x:v>
      </x:c>
      <x:c r="G6" s="11" t="n">
        <x:v>28.181787</x:v>
      </x:c>
      <x:c r="H6" s="11" t="n">
        <x:v>112.726882</x:v>
      </x:c>
      <x:c r="I6" s="11" t="n">
        <x:v>21.905773</x:v>
      </x:c>
      <x:c r="J6" s="8" t="n">
        <x:v>0.194326</x:v>
      </x:c>
      <x:c r="K6" s="8" t="n">
        <x:v>0.160943</x:v>
      </x:c>
    </x:row>
  </x:sheetData>
  <x:conditionalFormatting sqref="A2:K6">
    <x:cfRule type="expression" dxfId="8" priority="1">
      <x:formula>MOD(ROW(),2)=0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14" hidden="0" customWidth="1"/>
    <x:col min="5" max="5" width="15" hidden="0" customWidth="1"/>
    <x:col min="6" max="6" width="18" hidden="0" customWidth="1"/>
    <x:col min="7" max="7" width="17" hidden="0" customWidth="1"/>
    <x:col min="8" max="8" width="22" hidden="0" customWidth="1"/>
    <x:col min="9" max="9" width="15" hidden="0" customWidth="1"/>
    <x:col min="10" max="10" width="27" hidden="0" customWidth="1"/>
    <x:col min="11" max="11" width="15" hidden="0" customWidth="1"/>
  </x:cols>
  <x:sheetData>
    <x:row r="1" ht="32" customHeight="1">
      <x:c r="A1" s="5" t="str">
        <x:v>customer_type</x:v>
      </x:c>
      <x:c r="B1" s="5" t="str">
        <x:v>customers</x:v>
      </x:c>
      <x:c r="C1" s="5" t="str">
        <x:v>customer_share</x:v>
      </x:c>
      <x:c r="D1" s="5" t="str">
        <x:v>orders</x:v>
      </x:c>
      <x:c r="E1" s="5" t="str">
        <x:v>order_share</x:v>
      </x:c>
      <x:c r="F1" s="5" t="str">
        <x:v>net_revenue</x:v>
      </x:c>
      <x:c r="G1" s="5" t="str">
        <x:v>revenue_share</x:v>
      </x:c>
      <x:c r="H1" s="5" t="str">
        <x:v>revenue_per_customer</x:v>
      </x:c>
      <x:c r="I1" s="5" t="str">
        <x:v>aov</x:v>
      </x:c>
      <x:c r="J1" s="5" t="str">
        <x:v>average_purchase_frequency</x:v>
      </x:c>
      <x:c r="K1" s="5" t="str">
        <x:v>net_margin</x:v>
      </x:c>
    </x:row>
    <x:row r="2">
      <x:c r="A2" s="2" t="str">
        <x:v>Repeat Buyer</x:v>
      </x:c>
      <x:c r="B2" s="6" t="n">
        <x:v>10045</x:v>
      </x:c>
      <x:c r="C2" s="8" t="n">
        <x:v>0.6175</x:v>
      </x:c>
      <x:c r="D2" s="6" t="n">
        <x:v>27357</x:v>
      </x:c>
      <x:c r="E2" s="8" t="n">
        <x:v>0.8147</x:v>
      </x:c>
      <x:c r="F2" s="11" t="n">
        <x:v>3650143.73</x:v>
      </x:c>
      <x:c r="G2" s="8" t="n">
        <x:v>0.812367</x:v>
      </x:c>
      <x:c r="H2" s="11" t="n">
        <x:v>363.379167</x:v>
      </x:c>
      <x:c r="I2" s="11" t="n">
        <x:v>133.426316</x:v>
      </x:c>
      <x:c r="J2" s="10" t="n">
        <x:v>2.7234</x:v>
      </x:c>
      <x:c r="K2" s="8" t="n">
        <x:v>0.305126</x:v>
      </x:c>
    </x:row>
    <x:row r="3">
      <x:c r="A3" s="2" t="str">
        <x:v>One-time Buyer</x:v>
      </x:c>
      <x:c r="B3" s="6" t="n">
        <x:v>6223</x:v>
      </x:c>
      <x:c r="C3" s="8" t="n">
        <x:v>0.3825</x:v>
      </x:c>
      <x:c r="D3" s="6" t="n">
        <x:v>6223</x:v>
      </x:c>
      <x:c r="E3" s="8" t="n">
        <x:v>0.1853</x:v>
      </x:c>
      <x:c r="F3" s="11" t="n">
        <x:v>843073.74</x:v>
      </x:c>
      <x:c r="G3" s="8" t="n">
        <x:v>0.187633</x:v>
      </x:c>
      <x:c r="H3" s="11" t="n">
        <x:v>135.477059</x:v>
      </x:c>
      <x:c r="I3" s="11" t="n">
        <x:v>135.477059</x:v>
      </x:c>
      <x:c r="J3" s="10" t="n">
        <x:v>1</x:v>
      </x:c>
      <x:c r="K3" s="8" t="n">
        <x:v>0.305019</x:v>
      </x:c>
    </x:row>
  </x:sheetData>
  <x:conditionalFormatting sqref="A2:K3">
    <x:cfRule type="expression" dxfId="9" priority="1">
      <x:formula>MOD(ROW(),2)=0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7" hidden="0" customWidth="1"/>
    <x:col min="6" max="6" width="14" hidden="0" customWidth="1"/>
    <x:col min="7" max="7" width="15" hidden="0" customWidth="1"/>
    <x:col min="8" max="8" width="21" hidden="0" customWidth="1"/>
    <x:col min="9" max="9" width="20" hidden="0" customWidth="1"/>
    <x:col min="10" max="10" width="15" hidden="0" customWidth="1"/>
  </x:cols>
  <x:sheetData>
    <x:row r="1" ht="32" customHeight="1">
      <x:c r="A1" s="5" t="str">
        <x:v>segment</x:v>
      </x:c>
      <x:c r="B1" s="5" t="str">
        <x:v>customers</x:v>
      </x:c>
      <x:c r="C1" s="5" t="str">
        <x:v>customer_share</x:v>
      </x:c>
      <x:c r="D1" s="5" t="str">
        <x:v>net_revenue</x:v>
      </x:c>
      <x:c r="E1" s="5" t="str">
        <x:v>revenue_share</x:v>
      </x:c>
      <x:c r="F1" s="5" t="str">
        <x:v>orders</x:v>
      </x:c>
      <x:c r="G1" s="5" t="str">
        <x:v>aov</x:v>
      </x:c>
      <x:c r="H1" s="5" t="str">
        <x:v>average_frequency</x:v>
      </x:c>
      <x:c r="I1" s="5" t="str">
        <x:v>average_recency</x:v>
      </x:c>
      <x:c r="J1" s="5" t="str">
        <x:v>net_margin</x:v>
      </x:c>
    </x:row>
    <x:row r="2">
      <x:c r="A2" s="2" t="str">
        <x:v>Established / Mid-value</x:v>
      </x:c>
      <x:c r="B2" s="6" t="n">
        <x:v>4811</x:v>
      </x:c>
      <x:c r="C2" s="8" t="n">
        <x:v>0.2957</x:v>
      </x:c>
      <x:c r="D2" s="11" t="n">
        <x:v>1443977.65</x:v>
      </x:c>
      <x:c r="E2" s="8" t="n">
        <x:v>0.321368</x:v>
      </x:c>
      <x:c r="F2" s="6" t="n">
        <x:v>11174</x:v>
      </x:c>
      <x:c r="G2" s="11" t="n">
        <x:v>129.226566</x:v>
      </x:c>
      <x:c r="H2" s="10" t="n">
        <x:v>2.3226</x:v>
      </x:c>
      <x:c r="I2" s="7" t="n">
        <x:v>531.9457</x:v>
      </x:c>
      <x:c r="J2" s="8" t="n">
        <x:v>0.304853</x:v>
      </x:c>
    </x:row>
    <x:row r="3">
      <x:c r="A3" s="2" t="str">
        <x:v>High-value at Risk</x:v>
      </x:c>
      <x:c r="B3" s="6" t="n">
        <x:v>1827</x:v>
      </x:c>
      <x:c r="C3" s="8" t="n">
        <x:v>0.1123</x:v>
      </x:c>
      <x:c r="D3" s="11" t="n">
        <x:v>877319.26</x:v>
      </x:c>
      <x:c r="E3" s="8" t="n">
        <x:v>0.195254</x:v>
      </x:c>
      <x:c r="F3" s="6" t="n">
        <x:v>4014</x:v>
      </x:c>
      <x:c r="G3" s="11" t="n">
        <x:v>218.564838</x:v>
      </x:c>
      <x:c r="H3" s="10" t="n">
        <x:v>2.197</x:v>
      </x:c>
      <x:c r="I3" s="7" t="n">
        <x:v>1288.0192</x:v>
      </x:c>
      <x:c r="J3" s="8" t="n">
        <x:v>0.307272</x:v>
      </x:c>
    </x:row>
    <x:row r="4">
      <x:c r="A4" s="2" t="str">
        <x:v>New / Promising</x:v>
      </x:c>
      <x:c r="B4" s="6" t="n">
        <x:v>3584</x:v>
      </x:c>
      <x:c r="C4" s="8" t="n">
        <x:v>0.2203</x:v>
      </x:c>
      <x:c r="D4" s="11" t="n">
        <x:v>776040.46</x:v>
      </x:c>
      <x:c r="E4" s="8" t="n">
        <x:v>0.172714</x:v>
      </x:c>
      <x:c r="F4" s="6" t="n">
        <x:v>5726</x:v>
      </x:c>
      <x:c r="G4" s="11" t="n">
        <x:v>135.529246</x:v>
      </x:c>
      <x:c r="H4" s="10" t="n">
        <x:v>1.5977</x:v>
      </x:c>
      <x:c r="I4" s="7" t="n">
        <x:v>237.5232</x:v>
      </x:c>
      <x:c r="J4" s="8" t="n">
        <x:v>0.305049</x:v>
      </x:c>
    </x:row>
    <x:row r="5">
      <x:c r="A5" s="2" t="str">
        <x:v>Champions</x:v>
      </x:c>
      <x:c r="B5" s="6" t="n">
        <x:v>1098</x:v>
      </x:c>
      <x:c r="C5" s="8" t="n">
        <x:v>0.0675</x:v>
      </x:c>
      <x:c r="D5" s="11" t="n">
        <x:v>701927.09</x:v>
      </x:c>
      <x:c r="E5" s="8" t="n">
        <x:v>0.156219</x:v>
      </x:c>
      <x:c r="F5" s="6" t="n">
        <x:v>4973</x:v>
      </x:c>
      <x:c r="G5" s="11" t="n">
        <x:v>141.147615</x:v>
      </x:c>
      <x:c r="H5" s="10" t="n">
        <x:v>4.5291</x:v>
      </x:c>
      <x:c r="I5" s="7" t="n">
        <x:v>205.1758</x:v>
      </x:c>
      <x:c r="J5" s="8" t="n">
        <x:v>0.305497</x:v>
      </x:c>
    </x:row>
    <x:row r="6">
      <x:c r="A6" s="2" t="str">
        <x:v>Dormant</x:v>
      </x:c>
      <x:c r="B6" s="6" t="n">
        <x:v>4471</x:v>
      </x:c>
      <x:c r="C6" s="8" t="n">
        <x:v>0.2748</x:v>
      </x:c>
      <x:c r="D6" s="11" t="n">
        <x:v>465813.58</x:v>
      </x:c>
      <x:c r="E6" s="8" t="n">
        <x:v>0.10367</x:v>
      </x:c>
      <x:c r="F6" s="6" t="n">
        <x:v>5638</x:v>
      </x:c>
      <x:c r="G6" s="11" t="n">
        <x:v>82.620358</x:v>
      </x:c>
      <x:c r="H6" s="10" t="n">
        <x:v>1.261</x:v>
      </x:c>
      <x:c r="I6" s="7" t="n">
        <x:v>1425.52</x:v>
      </x:c>
      <x:c r="J6" s="8" t="n">
        <x:v>0.299948</x:v>
      </x:c>
    </x:row>
    <x:row r="7">
      <x:c r="A7" s="2" t="str">
        <x:v>Loyal</x:v>
      </x:c>
      <x:c r="B7" s="6" t="n">
        <x:v>477</x:v>
      </x:c>
      <x:c r="C7" s="8" t="n">
        <x:v>0.0293</x:v>
      </x:c>
      <x:c r="D7" s="11" t="n">
        <x:v>228139.43</x:v>
      </x:c>
      <x:c r="E7" s="8" t="n">
        <x:v>0.050774</x:v>
      </x:c>
      <x:c r="F7" s="6" t="n">
        <x:v>2055</x:v>
      </x:c>
      <x:c r="G7" s="11" t="n">
        <x:v>111.016754</x:v>
      </x:c>
      <x:c r="H7" s="10" t="n">
        <x:v>4.3082</x:v>
      </x:c>
      <x:c r="I7" s="7" t="n">
        <x:v>526.5891</x:v>
      </x:c>
      <x:c r="J7" s="8" t="n">
        <x:v>0.307898</x:v>
      </x:c>
    </x:row>
  </x:sheetData>
  <x:conditionalFormatting sqref="A2:J7">
    <x:cfRule type="expression" dxfId="10" priority="1">
      <x:formula>MOD(ROW(),2)=0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23" hidden="0" customWidth="1"/>
    <x:col min="6" max="6" width="18" hidden="0" customWidth="1"/>
    <x:col min="7" max="7" width="18" hidden="0" customWidth="1"/>
    <x:col min="8" max="8" width="17" hidden="0" customWidth="1"/>
    <x:col min="9" max="9" width="18" hidden="0" customWidth="1"/>
    <x:col min="10" max="10" width="15" hidden="0" customWidth="1"/>
    <x:col min="11" max="11" width="29" hidden="0" customWidth="1"/>
    <x:col min="12" max="12" width="15" hidden="0" customWidth="1"/>
    <x:col min="13" max="13" width="16" hidden="0" customWidth="1"/>
    <x:col min="14" max="14" width="18" hidden="0" customWidth="1"/>
    <x:col min="15" max="15" width="19" hidden="0" customWidth="1"/>
    <x:col min="16" max="16" width="18" hidden="0" customWidth="1"/>
  </x:cols>
  <x:sheetData>
    <x:row r="1" ht="32" customHeight="1">
      <x:c r="A1" s="5" t="str">
        <x:v>category</x:v>
      </x:c>
      <x:c r="B1" s="5" t="str">
        <x:v>revenue_rank</x:v>
      </x:c>
      <x:c r="C1" s="5" t="str">
        <x:v>units</x:v>
      </x:c>
      <x:c r="D1" s="5" t="str">
        <x:v>orders</x:v>
      </x:c>
      <x:c r="E1" s="5" t="str">
        <x:v>purchasing_customers</x:v>
      </x:c>
      <x:c r="F1" s="5" t="str">
        <x:v>gross_revenue</x:v>
      </x:c>
      <x:c r="G1" s="5" t="str">
        <x:v>net_revenue</x:v>
      </x:c>
      <x:c r="H1" s="5" t="str">
        <x:v>revenue_share</x:v>
      </x:c>
      <x:c r="I1" s="5" t="str">
        <x:v>net_profit</x:v>
      </x:c>
      <x:c r="J1" s="5" t="str">
        <x:v>net_margin</x:v>
      </x:c>
      <x:c r="K1" s="5" t="str">
        <x:v>net_revenue_per_category_order</x:v>
      </x:c>
      <x:c r="L1" s="5" t="str">
        <x:v>avg_rating</x:v>
      </x:c>
      <x:c r="M1" s="5" t="str">
        <x:v>review_count</x:v>
      </x:c>
      <x:c r="N1" s="5" t="str">
        <x:v>review_coverage</x:v>
      </x:c>
      <x:c r="O1" s="5" t="str">
        <x:v>low_rating_count</x:v>
      </x:c>
      <x:c r="P1" s="5" t="str">
        <x:v>low_rating_rate</x:v>
      </x:c>
    </x:row>
    <x:row r="2">
      <x:c r="A2" s="2" t="str">
        <x:v>Home &amp; Kitchen</x:v>
      </x:c>
      <x:c r="B2" s="6" t="n">
        <x:v>1</x:v>
      </x:c>
      <x:c r="C2" s="6" t="n">
        <x:v>9461</x:v>
      </x:c>
      <x:c r="D2" s="6" t="n">
        <x:v>5985</x:v>
      </x:c>
      <x:c r="E2" s="6" t="n">
        <x:v>5145</x:v>
      </x:c>
      <x:c r="F2" s="11" t="n">
        <x:v>840736.82</x:v>
      </x:c>
      <x:c r="G2" s="11" t="n">
        <x:v>781322.27547171</x:v>
      </x:c>
      <x:c r="H2" s="8" t="n">
        <x:v>0.173889263248</x:v>
      </x:c>
      <x:c r="I2" s="11" t="n">
        <x:v>241220.24547171</x:v>
      </x:c>
      <x:c r="J2" s="8" t="n">
        <x:v>0.308733352477</x:v>
      </x:c>
      <x:c r="K2" s="11" t="n">
        <x:v>130.546746110561</x:v>
      </x:c>
      <x:c r="L2" s="10" t="n">
        <x:v>3.9464</x:v>
      </x:c>
      <x:c r="M2" s="6" t="n">
        <x:v>1344</x:v>
      </x:c>
      <x:c r="N2" s="8" t="n">
        <x:v>0.1841</x:v>
      </x:c>
      <x:c r="O2" s="6" t="n">
        <x:v>146</x:v>
      </x:c>
      <x:c r="P2" s="8" t="n">
        <x:v>0.1086</x:v>
      </x:c>
    </x:row>
    <x:row r="3">
      <x:c r="A3" s="2" t="str">
        <x:v>Sports</x:v>
      </x:c>
      <x:c r="B3" s="6" t="n">
        <x:v>2</x:v>
      </x:c>
      <x:c r="C3" s="6" t="n">
        <x:v>8358</x:v>
      </x:c>
      <x:c r="D3" s="6" t="n">
        <x:v>5284</x:v>
      </x:c>
      <x:c r="E3" s="6" t="n">
        <x:v>4651</x:v>
      </x:c>
      <x:c r="F3" s="11" t="n">
        <x:v>832349.63</x:v>
      </x:c>
      <x:c r="G3" s="11" t="n">
        <x:v>772672.51496416</x:v>
      </x:c>
      <x:c r="H3" s="8" t="n">
        <x:v>0.171964192725</x:v>
      </x:c>
      <x:c r="I3" s="11" t="n">
        <x:v>233417.45496416</x:v>
      </x:c>
      <x:c r="J3" s="8" t="n">
        <x:v>0.302091054675</x:v>
      </x:c>
      <x:c r="K3" s="11" t="n">
        <x:v>146.228712143104</x:v>
      </x:c>
      <x:c r="L3" s="10" t="n">
        <x:v>3.9605</x:v>
      </x:c>
      <x:c r="M3" s="6" t="n">
        <x:v>1113</x:v>
      </x:c>
      <x:c r="N3" s="8" t="n">
        <x:v>0.1754</x:v>
      </x:c>
      <x:c r="O3" s="6" t="n">
        <x:v>110</x:v>
      </x:c>
      <x:c r="P3" s="8" t="n">
        <x:v>0.0988</x:v>
      </x:c>
    </x:row>
    <x:row r="4">
      <x:c r="A4" s="2" t="str">
        <x:v>Fashion</x:v>
      </x:c>
      <x:c r="B4" s="6" t="n">
        <x:v>3</x:v>
      </x:c>
      <x:c r="C4" s="6" t="n">
        <x:v>10056</x:v>
      </x:c>
      <x:c r="D4" s="6" t="n">
        <x:v>6267</x:v>
      </x:c>
      <x:c r="E4" s="6" t="n">
        <x:v>5379</x:v>
      </x:c>
      <x:c r="F4" s="11" t="n">
        <x:v>824739.33</x:v>
      </x:c>
      <x:c r="G4" s="11" t="n">
        <x:v>767580.69193603</x:v>
      </x:c>
      <x:c r="H4" s="8" t="n">
        <x:v>0.170830968468</x:v>
      </x:c>
      <x:c r="I4" s="11" t="n">
        <x:v>230264.05193603</x:v>
      </x:c>
      <x:c r="J4" s="8" t="n">
        <x:v>0.299986769281</x:v>
      </x:c>
      <x:c r="K4" s="11" t="n">
        <x:v>122.479765746933</x:v>
      </x:c>
      <x:c r="L4" s="10" t="n">
        <x:v>3.9336</x:v>
      </x:c>
      <x:c r="M4" s="6" t="n">
        <x:v>1385</x:v>
      </x:c>
      <x:c r="N4" s="8" t="n">
        <x:v>0.1783</x:v>
      </x:c>
      <x:c r="O4" s="6" t="n">
        <x:v>160</x:v>
      </x:c>
      <x:c r="P4" s="8" t="n">
        <x:v>0.1155</x:v>
      </x:c>
    </x:row>
    <x:row r="5">
      <x:c r="A5" s="2" t="str">
        <x:v>Electronics</x:v>
      </x:c>
      <x:c r="B5" s="6" t="n">
        <x:v>4</x:v>
      </x:c>
      <x:c r="C5" s="6" t="n">
        <x:v>4496</x:v>
      </x:c>
      <x:c r="D5" s="6" t="n">
        <x:v>3018</x:v>
      </x:c>
      <x:c r="E5" s="6" t="n">
        <x:v>2821</x:v>
      </x:c>
      <x:c r="F5" s="11" t="n">
        <x:v>692866.07</x:v>
      </x:c>
      <x:c r="G5" s="11" t="n">
        <x:v>644819.03412076</x:v>
      </x:c>
      <x:c r="H5" s="8" t="n">
        <x:v>0.143509420238</x:v>
      </x:c>
      <x:c r="I5" s="11" t="n">
        <x:v>209350.70412076</x:v>
      </x:c>
      <x:c r="J5" s="8" t="n">
        <x:v>0.32466582567</x:v>
      </x:c>
      <x:c r="K5" s="11" t="n">
        <x:v>213.657731650351</x:v>
      </x:c>
      <x:c r="L5" s="10" t="n">
        <x:v>3.8669</x:v>
      </x:c>
      <x:c r="M5" s="6" t="n">
        <x:v>691</x:v>
      </x:c>
      <x:c r="N5" s="8" t="n">
        <x:v>0.1997</x:v>
      </x:c>
      <x:c r="O5" s="6" t="n">
        <x:v>90</x:v>
      </x:c>
      <x:c r="P5" s="8" t="n">
        <x:v>0.1302</x:v>
      </x:c>
    </x:row>
    <x:row r="6">
      <x:c r="A6" s="2" t="str">
        <x:v>Beauty</x:v>
      </x:c>
      <x:c r="B6" s="6" t="n">
        <x:v>5</x:v>
      </x:c>
      <x:c r="C6" s="6" t="n">
        <x:v>13330</x:v>
      </x:c>
      <x:c r="D6" s="6" t="n">
        <x:v>8055</x:v>
      </x:c>
      <x:c r="E6" s="6" t="n">
        <x:v>6628</x:v>
      </x:c>
      <x:c r="F6" s="11" t="n">
        <x:v>692312.49</x:v>
      </x:c>
      <x:c r="G6" s="11" t="n">
        <x:v>642429.86423324</x:v>
      </x:c>
      <x:c r="H6" s="8" t="n">
        <x:v>0.14297769216</x:v>
      </x:c>
      <x:c r="I6" s="11" t="n">
        <x:v>195758.11423324</x:v>
      </x:c>
      <x:c r="J6" s="8" t="n">
        <x:v>0.304715152785</x:v>
      </x:c>
      <x:c r="K6" s="11" t="n">
        <x:v>79.755414554096</x:v>
      </x:c>
      <x:c r="L6" s="10" t="n">
        <x:v>3.9661</x:v>
      </x:c>
      <x:c r="M6" s="6" t="n">
        <x:v>1949</x:v>
      </x:c>
      <x:c r="N6" s="8" t="n">
        <x:v>0.1904</x:v>
      </x:c>
      <x:c r="O6" s="6" t="n">
        <x:v>203</x:v>
      </x:c>
      <x:c r="P6" s="8" t="n">
        <x:v>0.1042</x:v>
      </x:c>
    </x:row>
    <x:row r="7">
      <x:c r="A7" s="2" t="str">
        <x:v>Toys</x:v>
      </x:c>
      <x:c r="B7" s="6" t="n">
        <x:v>6</x:v>
      </x:c>
      <x:c r="C7" s="6" t="n">
        <x:v>14875</x:v>
      </x:c>
      <x:c r="D7" s="6" t="n">
        <x:v>8878</x:v>
      </x:c>
      <x:c r="E7" s="6" t="n">
        <x:v>7167</x:v>
      </x:c>
      <x:c r="F7" s="11" t="n">
        <x:v>569153.08</x:v>
      </x:c>
      <x:c r="G7" s="11" t="n">
        <x:v>528285.43367908</x:v>
      </x:c>
      <x:c r="H7" s="8" t="n">
        <x:v>0.11757397393</x:v>
      </x:c>
      <x:c r="I7" s="11" t="n">
        <x:v>153086.83367908</x:v>
      </x:c>
      <x:c r="J7" s="8" t="n">
        <x:v>0.289780531356</x:v>
      </x:c>
      <x:c r="K7" s="11" t="n">
        <x:v>59.505004919923</x:v>
      </x:c>
      <x:c r="L7" s="10" t="n">
        <x:v>3.9254</x:v>
      </x:c>
      <x:c r="M7" s="6" t="n">
        <x:v>1957</x:v>
      </x:c>
      <x:c r="N7" s="8" t="n">
        <x:v>0.1725</x:v>
      </x:c>
      <x:c r="O7" s="6" t="n">
        <x:v>217</x:v>
      </x:c>
      <x:c r="P7" s="8" t="n">
        <x:v>0.1109</x:v>
      </x:c>
    </x:row>
    <x:row r="8">
      <x:c r="A8" s="2" t="str">
        <x:v>Books</x:v>
      </x:c>
      <x:c r="B8" s="6" t="n">
        <x:v>7</x:v>
      </x:c>
      <x:c r="C8" s="6" t="n">
        <x:v>16530</x:v>
      </x:c>
      <x:c r="D8" s="6" t="n">
        <x:v>9936</x:v>
      </x:c>
      <x:c r="E8" s="6" t="n">
        <x:v>7750</x:v>
      </x:c>
      <x:c r="F8" s="11" t="n">
        <x:v>383450.8</x:v>
      </x:c>
      <x:c r="G8" s="11" t="n">
        <x:v>356107.65559431</x:v>
      </x:c>
      <x:c r="H8" s="8" t="n">
        <x:v>0.079254489232</x:v>
      </x:c>
      <x:c r="I8" s="11" t="n">
        <x:v>107809.50559431</x:v>
      </x:c>
      <x:c r="J8" s="8" t="n">
        <x:v>0.302744139028</x:v>
      </x:c>
      <x:c r="K8" s="11" t="n">
        <x:v>35.840142471247</x:v>
      </x:c>
      <x:c r="L8" s="10" t="n">
        <x:v>3.9163</x:v>
      </x:c>
      <x:c r="M8" s="6" t="n">
        <x:v>2341</x:v>
      </x:c>
      <x:c r="N8" s="8" t="n">
        <x:v>0.1846</x:v>
      </x:c>
      <x:c r="O8" s="6" t="n">
        <x:v>254</x:v>
      </x:c>
      <x:c r="P8" s="8" t="n">
        <x:v>0.1085</x:v>
      </x:c>
    </x:row>
  </x:sheetData>
  <x:conditionalFormatting sqref="A2:P8">
    <x:cfRule type="expression" dxfId="11" priority="1">
      <x:formula>MOD(ROW(),2)=0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9" hidden="0" customWidth="1"/>
    <x:col min="5" max="5" width="35.33000183105469" hidden="0" customWidth="1"/>
  </x:cols>
  <x:sheetData>
    <x:row r="1" ht="32" customHeight="1">
      <x:c r="A1" s="5" t="str">
        <x:v>month_index</x:v>
      </x:c>
      <x:c r="B1" s="5" t="str">
        <x:v>eligible_cohorts</x:v>
      </x:c>
      <x:c r="C1" s="5" t="str">
        <x:v>eligible_customers</x:v>
      </x:c>
      <x:c r="D1" s="5" t="str">
        <x:v>active_customers</x:v>
      </x:c>
      <x:c r="E1" s="5" t="str">
        <x:v>weighted_monthly_repeat_purchase_activity_rate</x:v>
      </x:c>
    </x:row>
    <x:row r="2">
      <x:c r="A2" s="12" t="n">
        <x:v>1</x:v>
      </x:c>
      <x:c r="B2" s="6" t="n">
        <x:v>69</x:v>
      </x:c>
      <x:c r="C2" s="6" t="n">
        <x:v>16167</x:v>
      </x:c>
      <x:c r="D2" s="6" t="n">
        <x:v>364</x:v>
      </x:c>
      <x:c r="E2" s="13" t="n">
        <x:v>0.0225</x:v>
      </x:c>
    </x:row>
    <x:row r="3">
      <x:c r="A3" s="12" t="n">
        <x:v>3</x:v>
      </x:c>
      <x:c r="B3" s="6" t="n">
        <x:v>67</x:v>
      </x:c>
      <x:c r="C3" s="6" t="n">
        <x:v>15976</x:v>
      </x:c>
      <x:c r="D3" s="6" t="n">
        <x:v>382</x:v>
      </x:c>
      <x:c r="E3" s="13" t="n">
        <x:v>0.0239</x:v>
      </x:c>
    </x:row>
    <x:row r="4">
      <x:c r="A4" s="12" t="n">
        <x:v>6</x:v>
      </x:c>
      <x:c r="B4" s="6" t="n">
        <x:v>64</x:v>
      </x:c>
      <x:c r="C4" s="6" t="n">
        <x:v>15676</x:v>
      </x:c>
      <x:c r="D4" s="6" t="n">
        <x:v>359</x:v>
      </x:c>
      <x:c r="E4" s="13" t="n">
        <x:v>0.0229</x:v>
      </x:c>
    </x:row>
    <x:row r="5">
      <x:c r="A5" s="12" t="n">
        <x:v>12</x:v>
      </x:c>
      <x:c r="B5" s="6" t="n">
        <x:v>58</x:v>
      </x:c>
      <x:c r="C5" s="6" t="n">
        <x:v>15014</x:v>
      </x:c>
      <x:c r="D5" s="6" t="n">
        <x:v>362</x:v>
      </x:c>
      <x:c r="E5" s="13" t="n">
        <x:v>0.0241</x:v>
      </x:c>
    </x:row>
  </x:sheetData>
  <x:conditionalFormatting sqref="A2:E5">
    <x:cfRule type="expression" dxfId="12" priority="1">
      <x:formula>MOD(ROW(),2)=0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  <x:col min="9" max="9" width="15" hidden="0" customWidth="1"/>
    <x:col min="10" max="10" width="24" hidden="0" customWidth="1"/>
    <x:col min="11" max="11" width="24" hidden="0" customWidth="1"/>
    <x:col min="12" max="12" width="20" hidden="0" customWidth="1"/>
    <x:col min="13" max="13" width="18" hidden="0" customWidth="1"/>
  </x:cols>
  <x:sheetData>
    <x:row r="1" ht="32" customHeight="1">
      <x:c r="A1" s="5" t="str">
        <x:v>order_month</x:v>
      </x:c>
      <x:c r="B1" s="5" t="str">
        <x:v>orders</x:v>
      </x:c>
      <x:c r="C1" s="5" t="str">
        <x:v>units</x:v>
      </x:c>
      <x:c r="D1" s="5" t="str">
        <x:v>gross_revenue</x:v>
      </x:c>
      <x:c r="E1" s="5" t="str">
        <x:v>discount_amount</x:v>
      </x:c>
      <x:c r="F1" s="5" t="str">
        <x:v>net_revenue</x:v>
      </x:c>
      <x:c r="G1" s="5" t="str">
        <x:v>net_profit</x:v>
      </x:c>
      <x:c r="H1" s="5" t="str">
        <x:v>aov</x:v>
      </x:c>
      <x:c r="I1" s="5" t="str">
        <x:v>net_margin</x:v>
      </x:c>
      <x:c r="J1" s="5" t="str">
        <x:v>mom_net_revenue_growth</x:v>
      </x:c>
      <x:c r="K1" s="5" t="str">
        <x:v>yoy_net_revenue_growth</x:v>
      </x:c>
      <x:c r="L1" s="5" t="str">
        <x:v>yoy_order_growth</x:v>
      </x:c>
      <x:c r="M1" s="5" t="str">
        <x:v>yoy_aov_growth</x:v>
      </x:c>
    </x:row>
    <x:row r="2">
      <x:c r="A2" s="14" t="n">
        <x:v>43831</x:v>
      </x:c>
      <x:c r="B2" s="6" t="n">
        <x:v>505</x:v>
      </x:c>
      <x:c r="C2" s="6" t="n">
        <x:v>1201</x:v>
      </x:c>
      <x:c r="D2" s="11" t="n">
        <x:v>73241.02</x:v>
      </x:c>
      <x:c r="E2" s="11" t="n">
        <x:v>5642.14</x:v>
      </x:c>
      <x:c r="F2" s="11" t="n">
        <x:v>67598.88</x:v>
      </x:c>
      <x:c r="G2" s="11" t="n">
        <x:v>20437.87</x:v>
      </x:c>
      <x:c r="H2" s="11" t="n">
        <x:v>133.859168</x:v>
      </x:c>
      <x:c r="I2" s="8" t="n">
        <x:v>0.30234</x:v>
      </x:c>
      <x:c r="J2" s="8"/>
      <x:c r="K2" s="8"/>
      <x:c r="L2" s="8"/>
      <x:c r="M2" s="8"/>
    </x:row>
    <x:row r="3">
      <x:c r="A3" s="14" t="n">
        <x:v>43862</x:v>
      </x:c>
      <x:c r="B3" s="6" t="n">
        <x:v>458</x:v>
      </x:c>
      <x:c r="C3" s="6" t="n">
        <x:v>1103</x:v>
      </x:c>
      <x:c r="D3" s="11" t="n">
        <x:v>65282.52</x:v>
      </x:c>
      <x:c r="E3" s="11" t="n">
        <x:v>4123.7</x:v>
      </x:c>
      <x:c r="F3" s="11" t="n">
        <x:v>61158.82</x:v>
      </x:c>
      <x:c r="G3" s="11" t="n">
        <x:v>18706</x:v>
      </x:c>
      <x:c r="H3" s="11" t="n">
        <x:v>133.534541</x:v>
      </x:c>
      <x:c r="I3" s="8" t="n">
        <x:v>0.305859</x:v>
      </x:c>
      <x:c r="J3" s="8" t="n">
        <x:v>-0.095269</x:v>
      </x:c>
      <x:c r="K3" s="8"/>
      <x:c r="L3" s="8"/>
      <x:c r="M3" s="8"/>
    </x:row>
    <x:row r="4">
      <x:c r="A4" s="14" t="n">
        <x:v>43891</x:v>
      </x:c>
      <x:c r="B4" s="6" t="n">
        <x:v>465</x:v>
      </x:c>
      <x:c r="C4" s="6" t="n">
        <x:v>1031</x:v>
      </x:c>
      <x:c r="D4" s="11" t="n">
        <x:v>67692.22</x:v>
      </x:c>
      <x:c r="E4" s="11" t="n">
        <x:v>5202.36</x:v>
      </x:c>
      <x:c r="F4" s="11" t="n">
        <x:v>62489.86</x:v>
      </x:c>
      <x:c r="G4" s="11" t="n">
        <x:v>18405.8</x:v>
      </x:c>
      <x:c r="H4" s="11" t="n">
        <x:v>134.386796</x:v>
      </x:c>
      <x:c r="I4" s="8" t="n">
        <x:v>0.294541</x:v>
      </x:c>
      <x:c r="J4" s="8" t="n">
        <x:v>0.021764</x:v>
      </x:c>
      <x:c r="K4" s="8"/>
      <x:c r="L4" s="8"/>
      <x:c r="M4" s="8"/>
    </x:row>
    <x:row r="5">
      <x:c r="A5" s="14" t="n">
        <x:v>43922</x:v>
      </x:c>
      <x:c r="B5" s="6" t="n">
        <x:v>470</x:v>
      </x:c>
      <x:c r="C5" s="6" t="n">
        <x:v>1085</x:v>
      </x:c>
      <x:c r="D5" s="11" t="n">
        <x:v>70273.86</x:v>
      </x:c>
      <x:c r="E5" s="11" t="n">
        <x:v>5245.62</x:v>
      </x:c>
      <x:c r="F5" s="11" t="n">
        <x:v>65028.24</x:v>
      </x:c>
      <x:c r="G5" s="11" t="n">
        <x:v>19878.2</x:v>
      </x:c>
      <x:c r="H5" s="11" t="n">
        <x:v>138.357957</x:v>
      </x:c>
      <x:c r="I5" s="8" t="n">
        <x:v>0.305686</x:v>
      </x:c>
      <x:c r="J5" s="8" t="n">
        <x:v>0.040621</x:v>
      </x:c>
      <x:c r="K5" s="8"/>
      <x:c r="L5" s="8"/>
      <x:c r="M5" s="8"/>
    </x:row>
    <x:row r="6">
      <x:c r="A6" s="14" t="n">
        <x:v>43952</x:v>
      </x:c>
      <x:c r="B6" s="6" t="n">
        <x:v>488</x:v>
      </x:c>
      <x:c r="C6" s="6" t="n">
        <x:v>1114</x:v>
      </x:c>
      <x:c r="D6" s="11" t="n">
        <x:v>64901.98</x:v>
      </x:c>
      <x:c r="E6" s="11" t="n">
        <x:v>4945.88</x:v>
      </x:c>
      <x:c r="F6" s="11" t="n">
        <x:v>59956.1</x:v>
      </x:c>
      <x:c r="G6" s="11" t="n">
        <x:v>18430.41</x:v>
      </x:c>
      <x:c r="H6" s="11" t="n">
        <x:v>122.860861</x:v>
      </x:c>
      <x:c r="I6" s="8" t="n">
        <x:v>0.307398</x:v>
      </x:c>
      <x:c r="J6" s="8" t="n">
        <x:v>-0.077999</x:v>
      </x:c>
      <x:c r="K6" s="8"/>
      <x:c r="L6" s="8"/>
      <x:c r="M6" s="8"/>
    </x:row>
    <x:row r="7">
      <x:c r="A7" s="14" t="n">
        <x:v>43983</x:v>
      </x:c>
      <x:c r="B7" s="6" t="n">
        <x:v>459</x:v>
      </x:c>
      <x:c r="C7" s="6" t="n">
        <x:v>1070</x:v>
      </x:c>
      <x:c r="D7" s="11" t="n">
        <x:v>68968.16</x:v>
      </x:c>
      <x:c r="E7" s="11" t="n">
        <x:v>4467.11</x:v>
      </x:c>
      <x:c r="F7" s="11" t="n">
        <x:v>64501.05</x:v>
      </x:c>
      <x:c r="G7" s="11" t="n">
        <x:v>19926.04</x:v>
      </x:c>
      <x:c r="H7" s="11" t="n">
        <x:v>140.525163</x:v>
      </x:c>
      <x:c r="I7" s="8" t="n">
        <x:v>0.308926</x:v>
      </x:c>
      <x:c r="J7" s="8" t="n">
        <x:v>0.075805</x:v>
      </x:c>
      <x:c r="K7" s="8"/>
      <x:c r="L7" s="8"/>
      <x:c r="M7" s="8"/>
    </x:row>
    <x:row r="8">
      <x:c r="A8" s="14" t="n">
        <x:v>44013</x:v>
      </x:c>
      <x:c r="B8" s="6" t="n">
        <x:v>454</x:v>
      </x:c>
      <x:c r="C8" s="6" t="n">
        <x:v>972</x:v>
      </x:c>
      <x:c r="D8" s="11" t="n">
        <x:v>57597.9</x:v>
      </x:c>
      <x:c r="E8" s="11" t="n">
        <x:v>3796.8</x:v>
      </x:c>
      <x:c r="F8" s="11" t="n">
        <x:v>53801.1</x:v>
      </x:c>
      <x:c r="G8" s="11" t="n">
        <x:v>16557.82</x:v>
      </x:c>
      <x:c r="H8" s="11" t="n">
        <x:v>118.504626</x:v>
      </x:c>
      <x:c r="I8" s="8" t="n">
        <x:v>0.30776</x:v>
      </x:c>
      <x:c r="J8" s="8" t="n">
        <x:v>-0.165888</x:v>
      </x:c>
      <x:c r="K8" s="8"/>
      <x:c r="L8" s="8"/>
      <x:c r="M8" s="8"/>
    </x:row>
    <x:row r="9">
      <x:c r="A9" s="14" t="n">
        <x:v>44044</x:v>
      </x:c>
      <x:c r="B9" s="6" t="n">
        <x:v>475</x:v>
      </x:c>
      <x:c r="C9" s="6" t="n">
        <x:v>1081</x:v>
      </x:c>
      <x:c r="D9" s="11" t="n">
        <x:v>66056</x:v>
      </x:c>
      <x:c r="E9" s="11" t="n">
        <x:v>5805.53</x:v>
      </x:c>
      <x:c r="F9" s="11" t="n">
        <x:v>60250.47</x:v>
      </x:c>
      <x:c r="G9" s="11" t="n">
        <x:v>17594.24</x:v>
      </x:c>
      <x:c r="H9" s="11" t="n">
        <x:v>126.843095</x:v>
      </x:c>
      <x:c r="I9" s="8" t="n">
        <x:v>0.292018</x:v>
      </x:c>
      <x:c r="J9" s="8" t="n">
        <x:v>0.119874</x:v>
      </x:c>
      <x:c r="K9" s="8"/>
      <x:c r="L9" s="8"/>
      <x:c r="M9" s="8"/>
    </x:row>
    <x:row r="10">
      <x:c r="A10" s="14" t="n">
        <x:v>44075</x:v>
      </x:c>
      <x:c r="B10" s="6" t="n">
        <x:v>458</x:v>
      </x:c>
      <x:c r="C10" s="6" t="n">
        <x:v>1076</x:v>
      </x:c>
      <x:c r="D10" s="11" t="n">
        <x:v>69529.93</x:v>
      </x:c>
      <x:c r="E10" s="11" t="n">
        <x:v>5691.6</x:v>
      </x:c>
      <x:c r="F10" s="11" t="n">
        <x:v>63838.33</x:v>
      </x:c>
      <x:c r="G10" s="11" t="n">
        <x:v>19232.39</x:v>
      </x:c>
      <x:c r="H10" s="11" t="n">
        <x:v>139.385</x:v>
      </x:c>
      <x:c r="I10" s="8" t="n">
        <x:v>0.301267</x:v>
      </x:c>
      <x:c r="J10" s="8" t="n">
        <x:v>0.059549</x:v>
      </x:c>
      <x:c r="K10" s="8"/>
      <x:c r="L10" s="8"/>
      <x:c r="M10" s="8"/>
    </x:row>
    <x:row r="11">
      <x:c r="A11" s="14" t="n">
        <x:v>44105</x:v>
      </x:c>
      <x:c r="B11" s="6" t="n">
        <x:v>518</x:v>
      </x:c>
      <x:c r="C11" s="6" t="n">
        <x:v>1201</x:v>
      </x:c>
      <x:c r="D11" s="11" t="n">
        <x:v>73384.62</x:v>
      </x:c>
      <x:c r="E11" s="11" t="n">
        <x:v>5068.27</x:v>
      </x:c>
      <x:c r="F11" s="11" t="n">
        <x:v>68316.35</x:v>
      </x:c>
      <x:c r="G11" s="11" t="n">
        <x:v>20928.3</x:v>
      </x:c>
      <x:c r="H11" s="11" t="n">
        <x:v>131.884846</x:v>
      </x:c>
      <x:c r="I11" s="8" t="n">
        <x:v>0.306344</x:v>
      </x:c>
      <x:c r="J11" s="8" t="n">
        <x:v>0.070146</x:v>
      </x:c>
      <x:c r="K11" s="8"/>
      <x:c r="L11" s="8"/>
      <x:c r="M11" s="8"/>
    </x:row>
    <x:row r="12">
      <x:c r="A12" s="14" t="n">
        <x:v>44136</x:v>
      </x:c>
      <x:c r="B12" s="6" t="n">
        <x:v>441</x:v>
      </x:c>
      <x:c r="C12" s="6" t="n">
        <x:v>993</x:v>
      </x:c>
      <x:c r="D12" s="11" t="n">
        <x:v>63387.68</x:v>
      </x:c>
      <x:c r="E12" s="11" t="n">
        <x:v>5072.38</x:v>
      </x:c>
      <x:c r="F12" s="11" t="n">
        <x:v>58315.3</x:v>
      </x:c>
      <x:c r="G12" s="11" t="n">
        <x:v>17103.56</x:v>
      </x:c>
      <x:c r="H12" s="11" t="n">
        <x:v>132.23424</x:v>
      </x:c>
      <x:c r="I12" s="8" t="n">
        <x:v>0.293295</x:v>
      </x:c>
      <x:c r="J12" s="8" t="n">
        <x:v>-0.146393</x:v>
      </x:c>
      <x:c r="K12" s="8"/>
      <x:c r="L12" s="8"/>
      <x:c r="M12" s="8"/>
    </x:row>
    <x:row r="13">
      <x:c r="A13" s="14" t="n">
        <x:v>44166</x:v>
      </x:c>
      <x:c r="B13" s="6" t="n">
        <x:v>468</x:v>
      </x:c>
      <x:c r="C13" s="6" t="n">
        <x:v>1064</x:v>
      </x:c>
      <x:c r="D13" s="11" t="n">
        <x:v>68660.65</x:v>
      </x:c>
      <x:c r="E13" s="11" t="n">
        <x:v>4824.38</x:v>
      </x:c>
      <x:c r="F13" s="11" t="n">
        <x:v>63836.27</x:v>
      </x:c>
      <x:c r="G13" s="11" t="n">
        <x:v>20002.92</x:v>
      </x:c>
      <x:c r="H13" s="11" t="n">
        <x:v>136.402286</x:v>
      </x:c>
      <x:c r="I13" s="8" t="n">
        <x:v>0.313347</x:v>
      </x:c>
      <x:c r="J13" s="8" t="n">
        <x:v>0.094674</x:v>
      </x:c>
      <x:c r="K13" s="8"/>
      <x:c r="L13" s="8"/>
      <x:c r="M13" s="8"/>
    </x:row>
    <x:row r="14">
      <x:c r="A14" s="14" t="n">
        <x:v>44197</x:v>
      </x:c>
      <x:c r="B14" s="6" t="n">
        <x:v>502</x:v>
      </x:c>
      <x:c r="C14" s="6" t="n">
        <x:v>1181</x:v>
      </x:c>
      <x:c r="D14" s="11" t="n">
        <x:v>74282.05</x:v>
      </x:c>
      <x:c r="E14" s="11" t="n">
        <x:v>4870.37</x:v>
      </x:c>
      <x:c r="F14" s="11" t="n">
        <x:v>69411.68</x:v>
      </x:c>
      <x:c r="G14" s="11" t="n">
        <x:v>21073.29</x:v>
      </x:c>
      <x:c r="H14" s="11" t="n">
        <x:v>138.270279</x:v>
      </x:c>
      <x:c r="I14" s="8" t="n">
        <x:v>0.303599</x:v>
      </x:c>
      <x:c r="J14" s="8" t="n">
        <x:v>0.087339</x:v>
      </x:c>
      <x:c r="K14" s="8" t="n">
        <x:v>0.026817</x:v>
      </x:c>
      <x:c r="L14" s="8" t="n">
        <x:v>-0.0059</x:v>
      </x:c>
      <x:c r="M14" s="8" t="n">
        <x:v>0.0329533723</x:v>
      </x:c>
    </x:row>
    <x:row r="15">
      <x:c r="A15" s="14" t="n">
        <x:v>44228</x:v>
      </x:c>
      <x:c r="B15" s="6" t="n">
        <x:v>458</x:v>
      </x:c>
      <x:c r="C15" s="6" t="n">
        <x:v>1020</x:v>
      </x:c>
      <x:c r="D15" s="11" t="n">
        <x:v>64474.8</x:v>
      </x:c>
      <x:c r="E15" s="11" t="n">
        <x:v>4709.15</x:v>
      </x:c>
      <x:c r="F15" s="11" t="n">
        <x:v>59765.65</x:v>
      </x:c>
      <x:c r="G15" s="11" t="n">
        <x:v>18238.91</x:v>
      </x:c>
      <x:c r="H15" s="11" t="n">
        <x:v>130.492686</x:v>
      </x:c>
      <x:c r="I15" s="8" t="n">
        <x:v>0.305174</x:v>
      </x:c>
      <x:c r="J15" s="8" t="n">
        <x:v>-0.138968</x:v>
      </x:c>
      <x:c r="K15" s="8" t="n">
        <x:v>-0.02278</x:v>
      </x:c>
      <x:c r="L15" s="8" t="n">
        <x:v>0</x:v>
      </x:c>
      <x:c r="M15" s="8" t="n">
        <x:v>-0.0227795369</x:v>
      </x:c>
    </x:row>
    <x:row r="16">
      <x:c r="A16" s="14" t="n">
        <x:v>44256</x:v>
      </x:c>
      <x:c r="B16" s="6" t="n">
        <x:v>493</x:v>
      </x:c>
      <x:c r="C16" s="6" t="n">
        <x:v>1140</x:v>
      </x:c>
      <x:c r="D16" s="11" t="n">
        <x:v>72415.83</x:v>
      </x:c>
      <x:c r="E16" s="11" t="n">
        <x:v>4649.94</x:v>
      </x:c>
      <x:c r="F16" s="11" t="n">
        <x:v>67765.89</x:v>
      </x:c>
      <x:c r="G16" s="11" t="n">
        <x:v>20473.56</x:v>
      </x:c>
      <x:c r="H16" s="11" t="n">
        <x:v>137.456166</x:v>
      </x:c>
      <x:c r="I16" s="8" t="n">
        <x:v>0.302122</x:v>
      </x:c>
      <x:c r="J16" s="8" t="n">
        <x:v>0.13386</x:v>
      </x:c>
      <x:c r="K16" s="8" t="n">
        <x:v>0.08443</x:v>
      </x:c>
      <x:c r="L16" s="8" t="n">
        <x:v>0.0602</x:v>
      </x:c>
      <x:c r="M16" s="8" t="n">
        <x:v>0.0228398183</x:v>
      </x:c>
    </x:row>
    <x:row r="17">
      <x:c r="A17" s="14" t="n">
        <x:v>44287</x:v>
      </x:c>
      <x:c r="B17" s="6" t="n">
        <x:v>459</x:v>
      </x:c>
      <x:c r="C17" s="6" t="n">
        <x:v>1102</x:v>
      </x:c>
      <x:c r="D17" s="11" t="n">
        <x:v>69908.79</x:v>
      </x:c>
      <x:c r="E17" s="11" t="n">
        <x:v>5295.02</x:v>
      </x:c>
      <x:c r="F17" s="11" t="n">
        <x:v>64613.77</x:v>
      </x:c>
      <x:c r="G17" s="11" t="n">
        <x:v>19129.28</x:v>
      </x:c>
      <x:c r="H17" s="11" t="n">
        <x:v>140.770741</x:v>
      </x:c>
      <x:c r="I17" s="8" t="n">
        <x:v>0.296056</x:v>
      </x:c>
      <x:c r="J17" s="8" t="n">
        <x:v>-0.046515</x:v>
      </x:c>
      <x:c r="K17" s="8" t="n">
        <x:v>-0.006374</x:v>
      </x:c>
      <x:c r="L17" s="8" t="n">
        <x:v>-0.0234</x:v>
      </x:c>
      <x:c r="M17" s="8" t="n">
        <x:v>0.0174387079</x:v>
      </x:c>
    </x:row>
    <x:row r="18">
      <x:c r="A18" s="14" t="n">
        <x:v>44317</x:v>
      </x:c>
      <x:c r="B18" s="6" t="n">
        <x:v>493</x:v>
      </x:c>
      <x:c r="C18" s="6" t="n">
        <x:v>1080</x:v>
      </x:c>
      <x:c r="D18" s="11" t="n">
        <x:v>67509.2</x:v>
      </x:c>
      <x:c r="E18" s="11" t="n">
        <x:v>4759.12</x:v>
      </x:c>
      <x:c r="F18" s="11" t="n">
        <x:v>62750.08</x:v>
      </x:c>
      <x:c r="G18" s="11" t="n">
        <x:v>19097.54</x:v>
      </x:c>
      <x:c r="H18" s="11" t="n">
        <x:v>127.28211</x:v>
      </x:c>
      <x:c r="I18" s="8" t="n">
        <x:v>0.304343</x:v>
      </x:c>
      <x:c r="J18" s="8" t="n">
        <x:v>-0.028844</x:v>
      </x:c>
      <x:c r="K18" s="8" t="n">
        <x:v>0.0466</x:v>
      </x:c>
      <x:c r="L18" s="8" t="n">
        <x:v>0.0102</x:v>
      </x:c>
      <x:c r="M18" s="8" t="n">
        <x:v>0.0359858214</x:v>
      </x:c>
    </x:row>
    <x:row r="19">
      <x:c r="A19" s="14" t="n">
        <x:v>44348</x:v>
      </x:c>
      <x:c r="B19" s="6" t="n">
        <x:v>460</x:v>
      </x:c>
      <x:c r="C19" s="6" t="n">
        <x:v>1103</x:v>
      </x:c>
      <x:c r="D19" s="11" t="n">
        <x:v>69931.07</x:v>
      </x:c>
      <x:c r="E19" s="11" t="n">
        <x:v>5534.87</x:v>
      </x:c>
      <x:c r="F19" s="11" t="n">
        <x:v>64396.2</x:v>
      </x:c>
      <x:c r="G19" s="11" t="n">
        <x:v>18750.74</x:v>
      </x:c>
      <x:c r="H19" s="11" t="n">
        <x:v>139.991739</x:v>
      </x:c>
      <x:c r="I19" s="8" t="n">
        <x:v>0.291178</x:v>
      </x:c>
      <x:c r="J19" s="8" t="n">
        <x:v>0.026233</x:v>
      </x:c>
      <x:c r="K19" s="8" t="n">
        <x:v>-0.001626</x:v>
      </x:c>
      <x:c r="L19" s="8" t="n">
        <x:v>0.0022</x:v>
      </x:c>
      <x:c r="M19" s="8" t="n">
        <x:v>-0.0037959323</x:v>
      </x:c>
    </x:row>
    <x:row r="20">
      <x:c r="A20" s="14" t="n">
        <x:v>44378</x:v>
      </x:c>
      <x:c r="B20" s="6" t="n">
        <x:v>514</x:v>
      </x:c>
      <x:c r="C20" s="6" t="n">
        <x:v>1187</x:v>
      </x:c>
      <x:c r="D20" s="11" t="n">
        <x:v>82129.83</x:v>
      </x:c>
      <x:c r="E20" s="11" t="n">
        <x:v>5655.44</x:v>
      </x:c>
      <x:c r="F20" s="11" t="n">
        <x:v>76474.39</x:v>
      </x:c>
      <x:c r="G20" s="11" t="n">
        <x:v>23010.51</x:v>
      </x:c>
      <x:c r="H20" s="11" t="n">
        <x:v>148.78286</x:v>
      </x:c>
      <x:c r="I20" s="8" t="n">
        <x:v>0.300892</x:v>
      </x:c>
      <x:c r="J20" s="8" t="n">
        <x:v>0.187561</x:v>
      </x:c>
      <x:c r="K20" s="8" t="n">
        <x:v>0.421428</x:v>
      </x:c>
      <x:c r="L20" s="8" t="n">
        <x:v>0.1322</x:v>
      </x:c>
      <x:c r="M20" s="8" t="n">
        <x:v>0.2555025489</x:v>
      </x:c>
    </x:row>
    <x:row r="21">
      <x:c r="A21" s="14" t="n">
        <x:v>44409</x:v>
      </x:c>
      <x:c r="B21" s="6" t="n">
        <x:v>493</x:v>
      </x:c>
      <x:c r="C21" s="6" t="n">
        <x:v>1066</x:v>
      </x:c>
      <x:c r="D21" s="11" t="n">
        <x:v>66686.06</x:v>
      </x:c>
      <x:c r="E21" s="11" t="n">
        <x:v>4676.36</x:v>
      </x:c>
      <x:c r="F21" s="11" t="n">
        <x:v>62009.7</x:v>
      </x:c>
      <x:c r="G21" s="11" t="n">
        <x:v>19000.17</x:v>
      </x:c>
      <x:c r="H21" s="11" t="n">
        <x:v>125.780325</x:v>
      </x:c>
      <x:c r="I21" s="8" t="n">
        <x:v>0.306406</x:v>
      </x:c>
      <x:c r="J21" s="8" t="n">
        <x:v>-0.189144</x:v>
      </x:c>
      <x:c r="K21" s="8" t="n">
        <x:v>0.029199</x:v>
      </x:c>
      <x:c r="L21" s="8" t="n">
        <x:v>0.0379</x:v>
      </x:c>
      <x:c r="M21" s="8" t="n">
        <x:v>-0.0083786193</x:v>
      </x:c>
    </x:row>
    <x:row r="22">
      <x:c r="A22" s="14" t="n">
        <x:v>44440</x:v>
      </x:c>
      <x:c r="B22" s="6" t="n">
        <x:v>483</x:v>
      </x:c>
      <x:c r="C22" s="6" t="n">
        <x:v>1038</x:v>
      </x:c>
      <x:c r="D22" s="11" t="n">
        <x:v>64218.71</x:v>
      </x:c>
      <x:c r="E22" s="11" t="n">
        <x:v>4695.98</x:v>
      </x:c>
      <x:c r="F22" s="11" t="n">
        <x:v>59522.73</x:v>
      </x:c>
      <x:c r="G22" s="11" t="n">
        <x:v>18142.29</x:v>
      </x:c>
      <x:c r="H22" s="11" t="n">
        <x:v>123.235466</x:v>
      </x:c>
      <x:c r="I22" s="8" t="n">
        <x:v>0.304796</x:v>
      </x:c>
      <x:c r="J22" s="8" t="n">
        <x:v>-0.040106</x:v>
      </x:c>
      <x:c r="K22" s="8" t="n">
        <x:v>-0.067602</x:v>
      </x:c>
      <x:c r="L22" s="8" t="n">
        <x:v>0.0546</x:v>
      </x:c>
      <x:c r="M22" s="8" t="n">
        <x:v>-0.1158627829</x:v>
      </x:c>
    </x:row>
    <x:row r="23">
      <x:c r="A23" s="14" t="n">
        <x:v>44470</x:v>
      </x:c>
      <x:c r="B23" s="6" t="n">
        <x:v>491</x:v>
      </x:c>
      <x:c r="C23" s="6" t="n">
        <x:v>1147</x:v>
      </x:c>
      <x:c r="D23" s="11" t="n">
        <x:v>70796.49</x:v>
      </x:c>
      <x:c r="E23" s="11" t="n">
        <x:v>4814.39</x:v>
      </x:c>
      <x:c r="F23" s="11" t="n">
        <x:v>65982.1</x:v>
      </x:c>
      <x:c r="G23" s="11" t="n">
        <x:v>20084.65</x:v>
      </x:c>
      <x:c r="H23" s="11" t="n">
        <x:v>134.383096</x:v>
      </x:c>
      <x:c r="I23" s="8" t="n">
        <x:v>0.304395</x:v>
      </x:c>
      <x:c r="J23" s="8" t="n">
        <x:v>0.108519</x:v>
      </x:c>
      <x:c r="K23" s="8" t="n">
        <x:v>-0.034168</x:v>
      </x:c>
      <x:c r="L23" s="8" t="n">
        <x:v>-0.0521</x:v>
      </x:c>
      <x:c r="M23" s="8" t="n">
        <x:v>0.0189426615</x:v>
      </x:c>
    </x:row>
    <x:row r="24">
      <x:c r="A24" s="14" t="n">
        <x:v>44501</x:v>
      </x:c>
      <x:c r="B24" s="6" t="n">
        <x:v>480</x:v>
      </x:c>
      <x:c r="C24" s="6" t="n">
        <x:v>1112</x:v>
      </x:c>
      <x:c r="D24" s="11" t="n">
        <x:v>70418.62</x:v>
      </x:c>
      <x:c r="E24" s="11" t="n">
        <x:v>4368.33</x:v>
      </x:c>
      <x:c r="F24" s="11" t="n">
        <x:v>66050.29</x:v>
      </x:c>
      <x:c r="G24" s="11" t="n">
        <x:v>21117.92</x:v>
      </x:c>
      <x:c r="H24" s="11" t="n">
        <x:v>137.604771</x:v>
      </x:c>
      <x:c r="I24" s="8" t="n">
        <x:v>0.319725</x:v>
      </x:c>
      <x:c r="J24" s="8" t="n">
        <x:v>0.001033</x:v>
      </x:c>
      <x:c r="K24" s="8" t="n">
        <x:v>0.132641</x:v>
      </x:c>
      <x:c r="L24" s="8" t="n">
        <x:v>0.0884</x:v>
      </x:c>
      <x:c r="M24" s="8" t="n">
        <x:v>0.0406137699</x:v>
      </x:c>
    </x:row>
    <x:row r="25">
      <x:c r="A25" s="14" t="n">
        <x:v>44531</x:v>
      </x:c>
      <x:c r="B25" s="6" t="n">
        <x:v>505</x:v>
      </x:c>
      <x:c r="C25" s="6" t="n">
        <x:v>1154</x:v>
      </x:c>
      <x:c r="D25" s="11" t="n">
        <x:v>72526.84</x:v>
      </x:c>
      <x:c r="E25" s="11" t="n">
        <x:v>5194.66</x:v>
      </x:c>
      <x:c r="F25" s="11" t="n">
        <x:v>67332.18</x:v>
      </x:c>
      <x:c r="G25" s="11" t="n">
        <x:v>20188.86</x:v>
      </x:c>
      <x:c r="H25" s="11" t="n">
        <x:v>133.33105</x:v>
      </x:c>
      <x:c r="I25" s="8" t="n">
        <x:v>0.29984</x:v>
      </x:c>
      <x:c r="J25" s="8" t="n">
        <x:v>0.019408</x:v>
      </x:c>
      <x:c r="K25" s="8" t="n">
        <x:v>0.054764</x:v>
      </x:c>
      <x:c r="L25" s="8" t="n">
        <x:v>0.0791</x:v>
      </x:c>
      <x:c r="M25" s="8" t="n">
        <x:v>-0.0225160156</x:v>
      </x:c>
    </x:row>
    <x:row r="26">
      <x:c r="A26" s="14" t="n">
        <x:v>44562</x:v>
      </x:c>
      <x:c r="B26" s="6" t="n">
        <x:v>501</x:v>
      </x:c>
      <x:c r="C26" s="6" t="n">
        <x:v>1125</x:v>
      </x:c>
      <x:c r="D26" s="11" t="n">
        <x:v>67338.77</x:v>
      </x:c>
      <x:c r="E26" s="11" t="n">
        <x:v>4331.77</x:v>
      </x:c>
      <x:c r="F26" s="11" t="n">
        <x:v>63007</x:v>
      </x:c>
      <x:c r="G26" s="11" t="n">
        <x:v>18875.83</x:v>
      </x:c>
      <x:c r="H26" s="11" t="n">
        <x:v>125.762475</x:v>
      </x:c>
      <x:c r="I26" s="8" t="n">
        <x:v>0.299583</x:v>
      </x:c>
      <x:c r="J26" s="8" t="n">
        <x:v>-0.064236</x:v>
      </x:c>
      <x:c r="K26" s="8" t="n">
        <x:v>-0.092271</x:v>
      </x:c>
      <x:c r="L26" s="8" t="n">
        <x:v>-0.002</x:v>
      </x:c>
      <x:c r="M26" s="8" t="n">
        <x:v>-0.0904590928</x:v>
      </x:c>
    </x:row>
    <x:row r="27">
      <x:c r="A27" s="14" t="n">
        <x:v>44593</x:v>
      </x:c>
      <x:c r="B27" s="6" t="n">
        <x:v>436</x:v>
      </x:c>
      <x:c r="C27" s="6" t="n">
        <x:v>991</x:v>
      </x:c>
      <x:c r="D27" s="11" t="n">
        <x:v>58917.39</x:v>
      </x:c>
      <x:c r="E27" s="11" t="n">
        <x:v>4567.24</x:v>
      </x:c>
      <x:c r="F27" s="11" t="n">
        <x:v>54350.15</x:v>
      </x:c>
      <x:c r="G27" s="11" t="n">
        <x:v>15944.55</x:v>
      </x:c>
      <x:c r="H27" s="11" t="n">
        <x:v>124.656307</x:v>
      </x:c>
      <x:c r="I27" s="8" t="n">
        <x:v>0.293367</x:v>
      </x:c>
      <x:c r="J27" s="8" t="n">
        <x:v>-0.137395</x:v>
      </x:c>
      <x:c r="K27" s="8" t="n">
        <x:v>-0.090612</x:v>
      </x:c>
      <x:c r="L27" s="8" t="n">
        <x:v>-0.048</x:v>
      </x:c>
      <x:c r="M27" s="8" t="n">
        <x:v>-0.0447257174</x:v>
      </x:c>
    </x:row>
    <x:row r="28">
      <x:c r="A28" s="14" t="n">
        <x:v>44621</x:v>
      </x:c>
      <x:c r="B28" s="6" t="n">
        <x:v>497</x:v>
      </x:c>
      <x:c r="C28" s="6" t="n">
        <x:v>1133</x:v>
      </x:c>
      <x:c r="D28" s="11" t="n">
        <x:v>70133.2</x:v>
      </x:c>
      <x:c r="E28" s="11" t="n">
        <x:v>5468.3</x:v>
      </x:c>
      <x:c r="F28" s="11" t="n">
        <x:v>64664.9</x:v>
      </x:c>
      <x:c r="G28" s="11" t="n">
        <x:v>19265.03</x:v>
      </x:c>
      <x:c r="H28" s="11" t="n">
        <x:v>130.110463</x:v>
      </x:c>
      <x:c r="I28" s="8" t="n">
        <x:v>0.297921</x:v>
      </x:c>
      <x:c r="J28" s="8" t="n">
        <x:v>0.189783</x:v>
      </x:c>
      <x:c r="K28" s="8" t="n">
        <x:v>-0.04576</x:v>
      </x:c>
      <x:c r="L28" s="8" t="n">
        <x:v>0.0081</x:v>
      </x:c>
      <x:c r="M28" s="8" t="n">
        <x:v>-0.0534403309</x:v>
      </x:c>
    </x:row>
    <x:row r="29">
      <x:c r="A29" s="14" t="n">
        <x:v>44652</x:v>
      </x:c>
      <x:c r="B29" s="6" t="n">
        <x:v>452</x:v>
      </x:c>
      <x:c r="C29" s="6" t="n">
        <x:v>1014</x:v>
      </x:c>
      <x:c r="D29" s="11" t="n">
        <x:v>60677.89</x:v>
      </x:c>
      <x:c r="E29" s="11" t="n">
        <x:v>4144.65</x:v>
      </x:c>
      <x:c r="F29" s="11" t="n">
        <x:v>56533.24</x:v>
      </x:c>
      <x:c r="G29" s="11" t="n">
        <x:v>17236.75</x:v>
      </x:c>
      <x:c r="H29" s="11" t="n">
        <x:v>125.07354</x:v>
      </x:c>
      <x:c r="I29" s="8" t="n">
        <x:v>0.304896</x:v>
      </x:c>
      <x:c r="J29" s="8" t="n">
        <x:v>-0.125751</x:v>
      </x:c>
      <x:c r="K29" s="8" t="n">
        <x:v>-0.125059</x:v>
      </x:c>
      <x:c r="L29" s="8" t="n">
        <x:v>-0.0153</x:v>
      </x:c>
      <x:c r="M29" s="8" t="n">
        <x:v>-0.1115089747</x:v>
      </x:c>
    </x:row>
    <x:row r="30">
      <x:c r="A30" s="14" t="n">
        <x:v>44682</x:v>
      </x:c>
      <x:c r="B30" s="6" t="n">
        <x:v>474</x:v>
      </x:c>
      <x:c r="C30" s="6" t="n">
        <x:v>1115</x:v>
      </x:c>
      <x:c r="D30" s="11" t="n">
        <x:v>73484.59</x:v>
      </x:c>
      <x:c r="E30" s="11" t="n">
        <x:v>5687.64</x:v>
      </x:c>
      <x:c r="F30" s="11" t="n">
        <x:v>67796.95</x:v>
      </x:c>
      <x:c r="G30" s="11" t="n">
        <x:v>20527.26</x:v>
      </x:c>
      <x:c r="H30" s="11" t="n">
        <x:v>143.03154</x:v>
      </x:c>
      <x:c r="I30" s="8" t="n">
        <x:v>0.302776</x:v>
      </x:c>
      <x:c r="J30" s="8" t="n">
        <x:v>0.19924</x:v>
      </x:c>
      <x:c r="K30" s="8" t="n">
        <x:v>0.080428</x:v>
      </x:c>
      <x:c r="L30" s="8" t="n">
        <x:v>-0.0385</x:v>
      </x:c>
      <x:c r="M30" s="8" t="n">
        <x:v>0.1237363994</x:v>
      </x:c>
    </x:row>
    <x:row r="31">
      <x:c r="A31" s="14" t="n">
        <x:v>44713</x:v>
      </x:c>
      <x:c r="B31" s="6" t="n">
        <x:v>448</x:v>
      </x:c>
      <x:c r="C31" s="6" t="n">
        <x:v>1026</x:v>
      </x:c>
      <x:c r="D31" s="11" t="n">
        <x:v>63292.7</x:v>
      </x:c>
      <x:c r="E31" s="11" t="n">
        <x:v>4710.61</x:v>
      </x:c>
      <x:c r="F31" s="11" t="n">
        <x:v>58582.09</x:v>
      </x:c>
      <x:c r="G31" s="11" t="n">
        <x:v>17013.06</x:v>
      </x:c>
      <x:c r="H31" s="11" t="n">
        <x:v>130.763594</x:v>
      </x:c>
      <x:c r="I31" s="8" t="n">
        <x:v>0.290414</x:v>
      </x:c>
      <x:c r="J31" s="8" t="n">
        <x:v>-0.135919</x:v>
      </x:c>
      <x:c r="K31" s="8" t="n">
        <x:v>-0.090287</x:v>
      </x:c>
      <x:c r="L31" s="8" t="n">
        <x:v>-0.0261</x:v>
      </x:c>
      <x:c r="M31" s="8" t="n">
        <x:v>-0.0659192111</x:v>
      </x:c>
    </x:row>
    <x:row r="32">
      <x:c r="A32" s="14" t="n">
        <x:v>44743</x:v>
      </x:c>
      <x:c r="B32" s="6" t="n">
        <x:v>493</x:v>
      </x:c>
      <x:c r="C32" s="6" t="n">
        <x:v>1118</x:v>
      </x:c>
      <x:c r="D32" s="11" t="n">
        <x:v>75910.72</x:v>
      </x:c>
      <x:c r="E32" s="11" t="n">
        <x:v>5719.17</x:v>
      </x:c>
      <x:c r="F32" s="11" t="n">
        <x:v>70191.55</x:v>
      </x:c>
      <x:c r="G32" s="11" t="n">
        <x:v>21094.61</x:v>
      </x:c>
      <x:c r="H32" s="11" t="n">
        <x:v>142.376369</x:v>
      </x:c>
      <x:c r="I32" s="8" t="n">
        <x:v>0.300529</x:v>
      </x:c>
      <x:c r="J32" s="8" t="n">
        <x:v>0.198174</x:v>
      </x:c>
      <x:c r="K32" s="8" t="n">
        <x:v>-0.082156</x:v>
      </x:c>
      <x:c r="L32" s="8" t="n">
        <x:v>-0.0409</x:v>
      </x:c>
      <x:c r="M32" s="8" t="n">
        <x:v>-0.0430593349</x:v>
      </x:c>
    </x:row>
    <x:row r="33">
      <x:c r="A33" s="14" t="n">
        <x:v>44774</x:v>
      </x:c>
      <x:c r="B33" s="6" t="n">
        <x:v>522</x:v>
      </x:c>
      <x:c r="C33" s="6" t="n">
        <x:v>1184</x:v>
      </x:c>
      <x:c r="D33" s="11" t="n">
        <x:v>76473.42</x:v>
      </x:c>
      <x:c r="E33" s="11" t="n">
        <x:v>5221.81</x:v>
      </x:c>
      <x:c r="F33" s="11" t="n">
        <x:v>71251.61</x:v>
      </x:c>
      <x:c r="G33" s="11" t="n">
        <x:v>22575.18</x:v>
      </x:c>
      <x:c r="H33" s="11" t="n">
        <x:v>136.497337</x:v>
      </x:c>
      <x:c r="I33" s="8" t="n">
        <x:v>0.316837</x:v>
      </x:c>
      <x:c r="J33" s="8" t="n">
        <x:v>0.015102</x:v>
      </x:c>
      <x:c r="K33" s="8" t="n">
        <x:v>0.14904</x:v>
      </x:c>
      <x:c r="L33" s="8" t="n">
        <x:v>0.0588</x:v>
      </x:c>
      <x:c r="M33" s="8" t="n">
        <x:v>0.0852042003</x:v>
      </x:c>
    </x:row>
    <x:row r="34">
      <x:c r="A34" s="14" t="n">
        <x:v>44805</x:v>
      </x:c>
      <x:c r="B34" s="6" t="n">
        <x:v>437</x:v>
      </x:c>
      <x:c r="C34" s="6" t="n">
        <x:v>1016</x:v>
      </x:c>
      <x:c r="D34" s="11" t="n">
        <x:v>66430.53</x:v>
      </x:c>
      <x:c r="E34" s="11" t="n">
        <x:v>4279.58</x:v>
      </x:c>
      <x:c r="F34" s="11" t="n">
        <x:v>62150.95</x:v>
      </x:c>
      <x:c r="G34" s="11" t="n">
        <x:v>19369.87</x:v>
      </x:c>
      <x:c r="H34" s="11" t="n">
        <x:v>142.221854</x:v>
      </x:c>
      <x:c r="I34" s="8" t="n">
        <x:v>0.311658</x:v>
      </x:c>
      <x:c r="J34" s="8" t="n">
        <x:v>-0.127726</x:v>
      </x:c>
      <x:c r="K34" s="8" t="n">
        <x:v>0.044155</x:v>
      </x:c>
      <x:c r="L34" s="8" t="n">
        <x:v>-0.0952</x:v>
      </x:c>
      <x:c r="M34" s="8" t="n">
        <x:v>0.1540659407</x:v>
      </x:c>
    </x:row>
    <x:row r="35">
      <x:c r="A35" s="14" t="n">
        <x:v>44835</x:v>
      </x:c>
      <x:c r="B35" s="6" t="n">
        <x:v>474</x:v>
      </x:c>
      <x:c r="C35" s="6" t="n">
        <x:v>1089</x:v>
      </x:c>
      <x:c r="D35" s="11" t="n">
        <x:v>67742.1</x:v>
      </x:c>
      <x:c r="E35" s="11" t="n">
        <x:v>4243.86</x:v>
      </x:c>
      <x:c r="F35" s="11" t="n">
        <x:v>63498.24</x:v>
      </x:c>
      <x:c r="G35" s="11" t="n">
        <x:v>20123.87</x:v>
      </x:c>
      <x:c r="H35" s="11" t="n">
        <x:v>133.962532</x:v>
      </x:c>
      <x:c r="I35" s="8" t="n">
        <x:v>0.31692</x:v>
      </x:c>
      <x:c r="J35" s="8" t="n">
        <x:v>0.021678</x:v>
      </x:c>
      <x:c r="K35" s="8" t="n">
        <x:v>-0.037644</x:v>
      </x:c>
      <x:c r="L35" s="8" t="n">
        <x:v>-0.0346</x:v>
      </x:c>
      <x:c r="M35" s="8" t="n">
        <x:v>-0.00312959</x:v>
      </x:c>
    </x:row>
    <x:row r="36">
      <x:c r="A36" s="14" t="n">
        <x:v>44866</x:v>
      </x:c>
      <x:c r="B36" s="6" t="n">
        <x:v>487</x:v>
      </x:c>
      <x:c r="C36" s="6" t="n">
        <x:v>1116</x:v>
      </x:c>
      <x:c r="D36" s="11" t="n">
        <x:v>69398.59</x:v>
      </x:c>
      <x:c r="E36" s="11" t="n">
        <x:v>4994.44</x:v>
      </x:c>
      <x:c r="F36" s="11" t="n">
        <x:v>64404.15</x:v>
      </x:c>
      <x:c r="G36" s="11" t="n">
        <x:v>19574</x:v>
      </x:c>
      <x:c r="H36" s="11" t="n">
        <x:v>132.246715</x:v>
      </x:c>
      <x:c r="I36" s="8" t="n">
        <x:v>0.303925</x:v>
      </x:c>
      <x:c r="J36" s="8" t="n">
        <x:v>0.014267</x:v>
      </x:c>
      <x:c r="K36" s="8" t="n">
        <x:v>-0.024923</x:v>
      </x:c>
      <x:c r="L36" s="8" t="n">
        <x:v>0.0146</x:v>
      </x:c>
      <x:c r="M36" s="8" t="n">
        <x:v>-0.0389380104</x:v>
      </x:c>
    </x:row>
    <x:row r="37">
      <x:c r="A37" s="14" t="n">
        <x:v>44896</x:v>
      </x:c>
      <x:c r="B37" s="6" t="n">
        <x:v>478</x:v>
      </x:c>
      <x:c r="C37" s="6" t="n">
        <x:v>1134</x:v>
      </x:c>
      <x:c r="D37" s="11" t="n">
        <x:v>68469.6</x:v>
      </x:c>
      <x:c r="E37" s="11" t="n">
        <x:v>5174.26</x:v>
      </x:c>
      <x:c r="F37" s="11" t="n">
        <x:v>63295.34</x:v>
      </x:c>
      <x:c r="G37" s="11" t="n">
        <x:v>19531.4</x:v>
      </x:c>
      <x:c r="H37" s="11" t="n">
        <x:v>132.417029</x:v>
      </x:c>
      <x:c r="I37" s="8" t="n">
        <x:v>0.308576</x:v>
      </x:c>
      <x:c r="J37" s="8" t="n">
        <x:v>-0.017216</x:v>
      </x:c>
      <x:c r="K37" s="8" t="n">
        <x:v>-0.059954</x:v>
      </x:c>
      <x:c r="L37" s="8" t="n">
        <x:v>-0.0535</x:v>
      </x:c>
      <x:c r="M37" s="8" t="n">
        <x:v>-0.0068552749</x:v>
      </x:c>
    </x:row>
    <x:row r="38">
      <x:c r="A38" s="14" t="n">
        <x:v>44927</x:v>
      </x:c>
      <x:c r="B38" s="6" t="n">
        <x:v>513</x:v>
      </x:c>
      <x:c r="C38" s="6" t="n">
        <x:v>1245</x:v>
      </x:c>
      <x:c r="D38" s="11" t="n">
        <x:v>77909.64</x:v>
      </x:c>
      <x:c r="E38" s="11" t="n">
        <x:v>5014.36</x:v>
      </x:c>
      <x:c r="F38" s="11" t="n">
        <x:v>72895.28</x:v>
      </x:c>
      <x:c r="G38" s="11" t="n">
        <x:v>22835.54</x:v>
      </x:c>
      <x:c r="H38" s="11" t="n">
        <x:v>142.096062</x:v>
      </x:c>
      <x:c r="I38" s="8" t="n">
        <x:v>0.313265</x:v>
      </x:c>
      <x:c r="J38" s="8" t="n">
        <x:v>0.151669</x:v>
      </x:c>
      <x:c r="K38" s="8" t="n">
        <x:v>0.156939</x:v>
      </x:c>
      <x:c r="L38" s="8" t="n">
        <x:v>0.024</x:v>
      </x:c>
      <x:c r="M38" s="8" t="n">
        <x:v>0.1298764755</x:v>
      </x:c>
    </x:row>
    <x:row r="39">
      <x:c r="A39" s="14" t="n">
        <x:v>44958</x:v>
      </x:c>
      <x:c r="B39" s="6" t="n">
        <x:v>422</x:v>
      </x:c>
      <x:c r="C39" s="6" t="n">
        <x:v>902</x:v>
      </x:c>
      <x:c r="D39" s="11" t="n">
        <x:v>56438.26</x:v>
      </x:c>
      <x:c r="E39" s="11" t="n">
        <x:v>3898.94</x:v>
      </x:c>
      <x:c r="F39" s="11" t="n">
        <x:v>52539.32</x:v>
      </x:c>
      <x:c r="G39" s="11" t="n">
        <x:v>16473.67</x:v>
      </x:c>
      <x:c r="H39" s="11" t="n">
        <x:v>124.500758</x:v>
      </x:c>
      <x:c r="I39" s="8" t="n">
        <x:v>0.313549</x:v>
      </x:c>
      <x:c r="J39" s="8" t="n">
        <x:v>-0.279249</x:v>
      </x:c>
      <x:c r="K39" s="8" t="n">
        <x:v>-0.033318</x:v>
      </x:c>
      <x:c r="L39" s="8" t="n">
        <x:v>-0.0321</x:v>
      </x:c>
      <x:c r="M39" s="8" t="n">
        <x:v>-0.0012478229</x:v>
      </x:c>
    </x:row>
    <x:row r="40">
      <x:c r="A40" s="14" t="n">
        <x:v>44986</x:v>
      </x:c>
      <x:c r="B40" s="6" t="n">
        <x:v>483</x:v>
      </x:c>
      <x:c r="C40" s="6" t="n">
        <x:v>1137</x:v>
      </x:c>
      <x:c r="D40" s="11" t="n">
        <x:v>70364.37</x:v>
      </x:c>
      <x:c r="E40" s="11" t="n">
        <x:v>5049.21</x:v>
      </x:c>
      <x:c r="F40" s="11" t="n">
        <x:v>65315.16</x:v>
      </x:c>
      <x:c r="G40" s="11" t="n">
        <x:v>19960.22</x:v>
      </x:c>
      <x:c r="H40" s="11" t="n">
        <x:v>135.228075</x:v>
      </x:c>
      <x:c r="I40" s="8" t="n">
        <x:v>0.305599</x:v>
      </x:c>
      <x:c r="J40" s="8" t="n">
        <x:v>0.243167</x:v>
      </x:c>
      <x:c r="K40" s="8" t="n">
        <x:v>0.010056</x:v>
      </x:c>
      <x:c r="L40" s="8" t="n">
        <x:v>-0.0282</x:v>
      </x:c>
      <x:c r="M40" s="8" t="n">
        <x:v>0.0393328244</x:v>
      </x:c>
    </x:row>
    <x:row r="41">
      <x:c r="A41" s="14" t="n">
        <x:v>45017</x:v>
      </x:c>
      <x:c r="B41" s="6" t="n">
        <x:v>486</x:v>
      </x:c>
      <x:c r="C41" s="6" t="n">
        <x:v>1126</x:v>
      </x:c>
      <x:c r="D41" s="11" t="n">
        <x:v>65390.15</x:v>
      </x:c>
      <x:c r="E41" s="11" t="n">
        <x:v>4934.22</x:v>
      </x:c>
      <x:c r="F41" s="11" t="n">
        <x:v>60455.93</x:v>
      </x:c>
      <x:c r="G41" s="11" t="n">
        <x:v>18423.13</x:v>
      </x:c>
      <x:c r="H41" s="11" t="n">
        <x:v>124.394918</x:v>
      </x:c>
      <x:c r="I41" s="8" t="n">
        <x:v>0.304737</x:v>
      </x:c>
      <x:c r="J41" s="8" t="n">
        <x:v>-0.074397</x:v>
      </x:c>
      <x:c r="K41" s="8" t="n">
        <x:v>0.069387</x:v>
      </x:c>
      <x:c r="L41" s="8" t="n">
        <x:v>0.0752</x:v>
      </x:c>
      <x:c r="M41" s="8" t="n">
        <x:v>-0.0054257839</x:v>
      </x:c>
    </x:row>
    <x:row r="42">
      <x:c r="A42" s="14" t="n">
        <x:v>45047</x:v>
      </x:c>
      <x:c r="B42" s="6" t="n">
        <x:v>470</x:v>
      </x:c>
      <x:c r="C42" s="6" t="n">
        <x:v>1089</x:v>
      </x:c>
      <x:c r="D42" s="11" t="n">
        <x:v>68196.98</x:v>
      </x:c>
      <x:c r="E42" s="11" t="n">
        <x:v>4437.58</x:v>
      </x:c>
      <x:c r="F42" s="11" t="n">
        <x:v>63759.4</x:v>
      </x:c>
      <x:c r="G42" s="11" t="n">
        <x:v>20259.07</x:v>
      </x:c>
      <x:c r="H42" s="11" t="n">
        <x:v>135.658298</x:v>
      </x:c>
      <x:c r="I42" s="8" t="n">
        <x:v>0.317742</x:v>
      </x:c>
      <x:c r="J42" s="8" t="n">
        <x:v>0.054643</x:v>
      </x:c>
      <x:c r="K42" s="8" t="n">
        <x:v>-0.059554</x:v>
      </x:c>
      <x:c r="L42" s="8" t="n">
        <x:v>-0.0084</x:v>
      </x:c>
      <x:c r="M42" s="8" t="n">
        <x:v>-0.0515497631</x:v>
      </x:c>
    </x:row>
    <x:row r="43">
      <x:c r="A43" s="14" t="n">
        <x:v>45078</x:v>
      </x:c>
      <x:c r="B43" s="6" t="n">
        <x:v>467</x:v>
      </x:c>
      <x:c r="C43" s="6" t="n">
        <x:v>1073</x:v>
      </x:c>
      <x:c r="D43" s="11" t="n">
        <x:v>73187.32</x:v>
      </x:c>
      <x:c r="E43" s="11" t="n">
        <x:v>5045.82</x:v>
      </x:c>
      <x:c r="F43" s="11" t="n">
        <x:v>68141.5</x:v>
      </x:c>
      <x:c r="G43" s="11" t="n">
        <x:v>22208.21</x:v>
      </x:c>
      <x:c r="H43" s="11" t="n">
        <x:v>145.913276</x:v>
      </x:c>
      <x:c r="I43" s="8" t="n">
        <x:v>0.325913</x:v>
      </x:c>
      <x:c r="J43" s="8" t="n">
        <x:v>0.068729</x:v>
      </x:c>
      <x:c r="K43" s="8" t="n">
        <x:v>0.16318</x:v>
      </x:c>
      <x:c r="L43" s="8" t="n">
        <x:v>0.0424</x:v>
      </x:c>
      <x:c r="M43" s="8" t="n">
        <x:v>0.1158555033</x:v>
      </x:c>
    </x:row>
    <x:row r="44">
      <x:c r="A44" s="14" t="n">
        <x:v>45108</x:v>
      </x:c>
      <x:c r="B44" s="6" t="n">
        <x:v>509</x:v>
      </x:c>
      <x:c r="C44" s="6" t="n">
        <x:v>1187</x:v>
      </x:c>
      <x:c r="D44" s="11" t="n">
        <x:v>76245.21</x:v>
      </x:c>
      <x:c r="E44" s="11" t="n">
        <x:v>5244.71</x:v>
      </x:c>
      <x:c r="F44" s="11" t="n">
        <x:v>71000.5</x:v>
      </x:c>
      <x:c r="G44" s="11" t="n">
        <x:v>21545.43</x:v>
      </x:c>
      <x:c r="H44" s="11" t="n">
        <x:v>139.490177</x:v>
      </x:c>
      <x:c r="I44" s="8" t="n">
        <x:v>0.303455</x:v>
      </x:c>
      <x:c r="J44" s="8" t="n">
        <x:v>0.041957</x:v>
      </x:c>
      <x:c r="K44" s="8" t="n">
        <x:v>0.011525</x:v>
      </x:c>
      <x:c r="L44" s="8" t="n">
        <x:v>0.0325</x:v>
      </x:c>
      <x:c r="M44" s="8" t="n">
        <x:v>-0.0202715663</x:v>
      </x:c>
    </x:row>
    <x:row r="45">
      <x:c r="A45" s="14" t="n">
        <x:v>45139</x:v>
      </x:c>
      <x:c r="B45" s="6" t="n">
        <x:v>491</x:v>
      </x:c>
      <x:c r="C45" s="6" t="n">
        <x:v>1198</x:v>
      </x:c>
      <x:c r="D45" s="11" t="n">
        <x:v>68526.51</x:v>
      </x:c>
      <x:c r="E45" s="11" t="n">
        <x:v>4451.65</x:v>
      </x:c>
      <x:c r="F45" s="11" t="n">
        <x:v>64074.86</x:v>
      </x:c>
      <x:c r="G45" s="11" t="n">
        <x:v>19663.98</x:v>
      </x:c>
      <x:c r="H45" s="11" t="n">
        <x:v>130.498697</x:v>
      </x:c>
      <x:c r="I45" s="8" t="n">
        <x:v>0.306891</x:v>
      </x:c>
      <x:c r="J45" s="8" t="n">
        <x:v>-0.097544</x:v>
      </x:c>
      <x:c r="K45" s="8" t="n">
        <x:v>-0.100724</x:v>
      </x:c>
      <x:c r="L45" s="8" t="n">
        <x:v>-0.0594</x:v>
      </x:c>
      <x:c r="M45" s="8" t="n">
        <x:v>-0.043946938</x:v>
      </x:c>
    </x:row>
    <x:row r="46">
      <x:c r="A46" s="14" t="n">
        <x:v>45170</x:v>
      </x:c>
      <x:c r="B46" s="6" t="n">
        <x:v>457</x:v>
      </x:c>
      <x:c r="C46" s="6" t="n">
        <x:v>1063</x:v>
      </x:c>
      <x:c r="D46" s="11" t="n">
        <x:v>63929.89</x:v>
      </x:c>
      <x:c r="E46" s="11" t="n">
        <x:v>4376.19</x:v>
      </x:c>
      <x:c r="F46" s="11" t="n">
        <x:v>59553.7</x:v>
      </x:c>
      <x:c r="G46" s="11" t="n">
        <x:v>18211.38</x:v>
      </x:c>
      <x:c r="H46" s="11" t="n">
        <x:v>130.314442</x:v>
      </x:c>
      <x:c r="I46" s="8" t="n">
        <x:v>0.305798</x:v>
      </x:c>
      <x:c r="J46" s="8" t="n">
        <x:v>-0.070561</x:v>
      </x:c>
      <x:c r="K46" s="8" t="n">
        <x:v>-0.041789</x:v>
      </x:c>
      <x:c r="L46" s="8" t="n">
        <x:v>0.0458</x:v>
      </x:c>
      <x:c r="M46" s="8" t="n">
        <x:v>-0.0837242074</x:v>
      </x:c>
    </x:row>
    <x:row r="47">
      <x:c r="A47" s="14" t="n">
        <x:v>45200</x:v>
      </x:c>
      <x:c r="B47" s="6" t="n">
        <x:v>485</x:v>
      </x:c>
      <x:c r="C47" s="6" t="n">
        <x:v>1178</x:v>
      </x:c>
      <x:c r="D47" s="11" t="n">
        <x:v>73378.49</x:v>
      </x:c>
      <x:c r="E47" s="11" t="n">
        <x:v>4362.8</x:v>
      </x:c>
      <x:c r="F47" s="11" t="n">
        <x:v>69015.69</x:v>
      </x:c>
      <x:c r="G47" s="11" t="n">
        <x:v>21523.37</x:v>
      </x:c>
      <x:c r="H47" s="11" t="n">
        <x:v>142.300392</x:v>
      </x:c>
      <x:c r="I47" s="8" t="n">
        <x:v>0.311862</x:v>
      </x:c>
      <x:c r="J47" s="8" t="n">
        <x:v>0.158882</x:v>
      </x:c>
      <x:c r="K47" s="8" t="n">
        <x:v>0.086891</x:v>
      </x:c>
      <x:c r="L47" s="8" t="n">
        <x:v>0.0232</x:v>
      </x:c>
      <x:c r="M47" s="8" t="n">
        <x:v>0.0622402389</x:v>
      </x:c>
    </x:row>
    <x:row r="48">
      <x:c r="A48" s="14" t="n">
        <x:v>45231</x:v>
      </x:c>
      <x:c r="B48" s="6" t="n">
        <x:v>463</x:v>
      </x:c>
      <x:c r="C48" s="6" t="n">
        <x:v>1012</x:v>
      </x:c>
      <x:c r="D48" s="11" t="n">
        <x:v>64728.13</x:v>
      </x:c>
      <x:c r="E48" s="11" t="n">
        <x:v>4138.69</x:v>
      </x:c>
      <x:c r="F48" s="11" t="n">
        <x:v>60589.44</x:v>
      </x:c>
      <x:c r="G48" s="11" t="n">
        <x:v>18945.85</x:v>
      </x:c>
      <x:c r="H48" s="11" t="n">
        <x:v>130.862721</x:v>
      </x:c>
      <x:c r="I48" s="8" t="n">
        <x:v>0.312692</x:v>
      </x:c>
      <x:c r="J48" s="8" t="n">
        <x:v>-0.122092</x:v>
      </x:c>
      <x:c r="K48" s="8" t="n">
        <x:v>-0.059231</x:v>
      </x:c>
      <x:c r="L48" s="8" t="n">
        <x:v>-0.0493</x:v>
      </x:c>
      <x:c r="M48" s="8" t="n">
        <x:v>-0.0104652429</x:v>
      </x:c>
    </x:row>
    <x:row r="49">
      <x:c r="A49" s="14" t="n">
        <x:v>45261</x:v>
      </x:c>
      <x:c r="B49" s="6" t="n">
        <x:v>493</x:v>
      </x:c>
      <x:c r="C49" s="6" t="n">
        <x:v>1157</x:v>
      </x:c>
      <x:c r="D49" s="11" t="n">
        <x:v>77713.29</x:v>
      </x:c>
      <x:c r="E49" s="11" t="n">
        <x:v>5323.92</x:v>
      </x:c>
      <x:c r="F49" s="11" t="n">
        <x:v>72389.37</x:v>
      </x:c>
      <x:c r="G49" s="11" t="n">
        <x:v>22510.87</x:v>
      </x:c>
      <x:c r="H49" s="11" t="n">
        <x:v>146.834422</x:v>
      </x:c>
      <x:c r="I49" s="8" t="n">
        <x:v>0.310969</x:v>
      </x:c>
      <x:c r="J49" s="8" t="n">
        <x:v>0.194752</x:v>
      </x:c>
      <x:c r="K49" s="8" t="n">
        <x:v>0.143676</x:v>
      </x:c>
      <x:c r="L49" s="8" t="n">
        <x:v>0.0314</x:v>
      </x:c>
      <x:c r="M49" s="8" t="n">
        <x:v>0.1088786926</x:v>
      </x:c>
    </x:row>
    <x:row r="50">
      <x:c r="A50" s="14" t="n">
        <x:v>45292</x:v>
      </x:c>
      <x:c r="B50" s="6" t="n">
        <x:v>494</x:v>
      </x:c>
      <x:c r="C50" s="6" t="n">
        <x:v>1088</x:v>
      </x:c>
      <x:c r="D50" s="11" t="n">
        <x:v>67831.22</x:v>
      </x:c>
      <x:c r="E50" s="11" t="n">
        <x:v>4378.93</x:v>
      </x:c>
      <x:c r="F50" s="11" t="n">
        <x:v>63452.29</x:v>
      </x:c>
      <x:c r="G50" s="11" t="n">
        <x:v>19710.66</x:v>
      </x:c>
      <x:c r="H50" s="11" t="n">
        <x:v>128.445931</x:v>
      </x:c>
      <x:c r="I50" s="8" t="n">
        <x:v>0.310637</x:v>
      </x:c>
      <x:c r="J50" s="8" t="n">
        <x:v>-0.123458</x:v>
      </x:c>
      <x:c r="K50" s="8" t="n">
        <x:v>-0.129542</x:v>
      </x:c>
      <x:c r="L50" s="8" t="n">
        <x:v>-0.037</x:v>
      </x:c>
      <x:c r="M50" s="8" t="n">
        <x:v>-0.0960626974</x:v>
      </x:c>
    </x:row>
    <x:row r="51">
      <x:c r="A51" s="14" t="n">
        <x:v>45323</x:v>
      </x:c>
      <x:c r="B51" s="6" t="n">
        <x:v>439</x:v>
      </x:c>
      <x:c r="C51" s="6" t="n">
        <x:v>1052</x:v>
      </x:c>
      <x:c r="D51" s="11" t="n">
        <x:v>64420.54</x:v>
      </x:c>
      <x:c r="E51" s="11" t="n">
        <x:v>4542.21</x:v>
      </x:c>
      <x:c r="F51" s="11" t="n">
        <x:v>59878.33</x:v>
      </x:c>
      <x:c r="G51" s="11" t="n">
        <x:v>18774.91</x:v>
      </x:c>
      <x:c r="H51" s="11" t="n">
        <x:v>136.397107</x:v>
      </x:c>
      <x:c r="I51" s="8" t="n">
        <x:v>0.313551</x:v>
      </x:c>
      <x:c r="J51" s="8" t="n">
        <x:v>-0.056325</x:v>
      </x:c>
      <x:c r="K51" s="8" t="n">
        <x:v>0.139686</x:v>
      </x:c>
      <x:c r="L51" s="8" t="n">
        <x:v>0.0403</x:v>
      </x:c>
      <x:c r="M51" s="8" t="n">
        <x:v>0.0955524223</x:v>
      </x:c>
    </x:row>
    <x:row r="52">
      <x:c r="A52" s="14" t="n">
        <x:v>45352</x:v>
      </x:c>
      <x:c r="B52" s="6" t="n">
        <x:v>478</x:v>
      </x:c>
      <x:c r="C52" s="6" t="n">
        <x:v>1077</x:v>
      </x:c>
      <x:c r="D52" s="11" t="n">
        <x:v>65525.73</x:v>
      </x:c>
      <x:c r="E52" s="11" t="n">
        <x:v>4579.05</x:v>
      </x:c>
      <x:c r="F52" s="11" t="n">
        <x:v>60946.68</x:v>
      </x:c>
      <x:c r="G52" s="11" t="n">
        <x:v>18497.62</x:v>
      </x:c>
      <x:c r="H52" s="11" t="n">
        <x:v>127.503515</x:v>
      </x:c>
      <x:c r="I52" s="8" t="n">
        <x:v>0.303505</x:v>
      </x:c>
      <x:c r="J52" s="8" t="n">
        <x:v>0.017842</x:v>
      </x:c>
      <x:c r="K52" s="8" t="n">
        <x:v>-0.066883</x:v>
      </x:c>
      <x:c r="L52" s="8" t="n">
        <x:v>-0.0104</x:v>
      </x:c>
      <x:c r="M52" s="8" t="n">
        <x:v>-0.0571224577</x:v>
      </x:c>
    </x:row>
    <x:row r="53">
      <x:c r="A53" s="14" t="n">
        <x:v>45383</x:v>
      </x:c>
      <x:c r="B53" s="6" t="n">
        <x:v>452</x:v>
      </x:c>
      <x:c r="C53" s="6" t="n">
        <x:v>1005</x:v>
      </x:c>
      <x:c r="D53" s="11" t="n">
        <x:v>58899.97</x:v>
      </x:c>
      <x:c r="E53" s="11" t="n">
        <x:v>4295.63</x:v>
      </x:c>
      <x:c r="F53" s="11" t="n">
        <x:v>54604.34</x:v>
      </x:c>
      <x:c r="G53" s="11" t="n">
        <x:v>16471.78</x:v>
      </x:c>
      <x:c r="H53" s="11" t="n">
        <x:v>120.806062</x:v>
      </x:c>
      <x:c r="I53" s="8" t="n">
        <x:v>0.301657</x:v>
      </x:c>
      <x:c r="J53" s="8" t="n">
        <x:v>-0.104064</x:v>
      </x:c>
      <x:c r="K53" s="8" t="n">
        <x:v>-0.096791</x:v>
      </x:c>
      <x:c r="L53" s="8" t="n">
        <x:v>-0.07</x:v>
      </x:c>
      <x:c r="M53" s="8" t="n">
        <x:v>-0.0288505034</x:v>
      </x:c>
    </x:row>
    <x:row r="54">
      <x:c r="A54" s="14" t="n">
        <x:v>45413</x:v>
      </x:c>
      <x:c r="B54" s="6" t="n">
        <x:v>474</x:v>
      </x:c>
      <x:c r="C54" s="6" t="n">
        <x:v>1097</x:v>
      </x:c>
      <x:c r="D54" s="11" t="n">
        <x:v>65230.9</x:v>
      </x:c>
      <x:c r="E54" s="11" t="n">
        <x:v>4626.66</x:v>
      </x:c>
      <x:c r="F54" s="11" t="n">
        <x:v>60604.24</x:v>
      </x:c>
      <x:c r="G54" s="11" t="n">
        <x:v>18361.03</x:v>
      </x:c>
      <x:c r="H54" s="11" t="n">
        <x:v>127.857046</x:v>
      </x:c>
      <x:c r="I54" s="8" t="n">
        <x:v>0.302966</x:v>
      </x:c>
      <x:c r="J54" s="8" t="n">
        <x:v>0.10988</x:v>
      </x:c>
      <x:c r="K54" s="8" t="n">
        <x:v>-0.049485</x:v>
      </x:c>
      <x:c r="L54" s="8" t="n">
        <x:v>0.0085</x:v>
      </x:c>
      <x:c r="M54" s="8" t="n">
        <x:v>-0.0575066333</x:v>
      </x:c>
    </x:row>
    <x:row r="55">
      <x:c r="A55" s="14" t="n">
        <x:v>45444</x:v>
      </x:c>
      <x:c r="B55" s="6" t="n">
        <x:v>451</x:v>
      </x:c>
      <x:c r="C55" s="6" t="n">
        <x:v>1017</x:v>
      </x:c>
      <x:c r="D55" s="11" t="n">
        <x:v>62509.66</x:v>
      </x:c>
      <x:c r="E55" s="11" t="n">
        <x:v>4769.28</x:v>
      </x:c>
      <x:c r="F55" s="11" t="n">
        <x:v>57740.38</x:v>
      </x:c>
      <x:c r="G55" s="11" t="n">
        <x:v>17767.08</x:v>
      </x:c>
      <x:c r="H55" s="11" t="n">
        <x:v>128.02745</x:v>
      </x:c>
      <x:c r="I55" s="8" t="n">
        <x:v>0.307706</x:v>
      </x:c>
      <x:c r="J55" s="8" t="n">
        <x:v>-0.047255</x:v>
      </x:c>
      <x:c r="K55" s="8" t="n">
        <x:v>-0.15264</x:v>
      </x:c>
      <x:c r="L55" s="8" t="n">
        <x:v>-0.0343</x:v>
      </x:c>
      <x:c r="M55" s="8" t="n">
        <x:v>-0.1225784691</x:v>
      </x:c>
    </x:row>
    <x:row r="56">
      <x:c r="A56" s="14" t="n">
        <x:v>45474</x:v>
      </x:c>
      <x:c r="B56" s="6" t="n">
        <x:v>509</x:v>
      </x:c>
      <x:c r="C56" s="6" t="n">
        <x:v>1163</x:v>
      </x:c>
      <x:c r="D56" s="11" t="n">
        <x:v>70876.27</x:v>
      </x:c>
      <x:c r="E56" s="11" t="n">
        <x:v>4993.03</x:v>
      </x:c>
      <x:c r="F56" s="11" t="n">
        <x:v>65883.24</x:v>
      </x:c>
      <x:c r="G56" s="11" t="n">
        <x:v>19820.2</x:v>
      </x:c>
      <x:c r="H56" s="11" t="n">
        <x:v>129.436621</x:v>
      </x:c>
      <x:c r="I56" s="8" t="n">
        <x:v>0.300838</x:v>
      </x:c>
      <x:c r="J56" s="8" t="n">
        <x:v>0.141025</x:v>
      </x:c>
      <x:c r="K56" s="8" t="n">
        <x:v>-0.072074</x:v>
      </x:c>
      <x:c r="L56" s="8" t="n">
        <x:v>0</x:v>
      </x:c>
      <x:c r="M56" s="8" t="n">
        <x:v>-0.0720735769</x:v>
      </x:c>
    </x:row>
    <x:row r="57">
      <x:c r="A57" s="14" t="n">
        <x:v>45505</x:v>
      </x:c>
      <x:c r="B57" s="6" t="n">
        <x:v>504</x:v>
      </x:c>
      <x:c r="C57" s="6" t="n">
        <x:v>1183</x:v>
      </x:c>
      <x:c r="D57" s="11" t="n">
        <x:v>75460.04</x:v>
      </x:c>
      <x:c r="E57" s="11" t="n">
        <x:v>4877.22</x:v>
      </x:c>
      <x:c r="F57" s="11" t="n">
        <x:v>70582.82</x:v>
      </x:c>
      <x:c r="G57" s="11" t="n">
        <x:v>21860.86</x:v>
      </x:c>
      <x:c r="H57" s="11" t="n">
        <x:v>140.045278</x:v>
      </x:c>
      <x:c r="I57" s="8" t="n">
        <x:v>0.309719</x:v>
      </x:c>
      <x:c r="J57" s="8" t="n">
        <x:v>0.071332</x:v>
      </x:c>
      <x:c r="K57" s="8" t="n">
        <x:v>0.101568</x:v>
      </x:c>
      <x:c r="L57" s="8" t="n">
        <x:v>0.0265</x:v>
      </x:c>
      <x:c r="M57" s="8" t="n">
        <x:v>0.0731546078</x:v>
      </x:c>
    </x:row>
    <x:row r="58">
      <x:c r="A58" s="14" t="n">
        <x:v>45536</x:v>
      </x:c>
      <x:c r="B58" s="6" t="n">
        <x:v>456</x:v>
      </x:c>
      <x:c r="C58" s="6" t="n">
        <x:v>1026</x:v>
      </x:c>
      <x:c r="D58" s="11" t="n">
        <x:v>65294.69</x:v>
      </x:c>
      <x:c r="E58" s="11" t="n">
        <x:v>4451.59</x:v>
      </x:c>
      <x:c r="F58" s="11" t="n">
        <x:v>60843.1</x:v>
      </x:c>
      <x:c r="G58" s="11" t="n">
        <x:v>18971.58</x:v>
      </x:c>
      <x:c r="H58" s="11" t="n">
        <x:v>133.427851</x:v>
      </x:c>
      <x:c r="I58" s="8" t="n">
        <x:v>0.311812</x:v>
      </x:c>
      <x:c r="J58" s="8" t="n">
        <x:v>-0.13799</x:v>
      </x:c>
      <x:c r="K58" s="8" t="n">
        <x:v>0.021651</x:v>
      </x:c>
      <x:c r="L58" s="8" t="n">
        <x:v>-0.0022</x:v>
      </x:c>
      <x:c r="M58" s="8" t="n">
        <x:v>0.0238915116</x:v>
      </x:c>
    </x:row>
    <x:row r="59">
      <x:c r="A59" s="14" t="n">
        <x:v>45566</x:v>
      </x:c>
      <x:c r="B59" s="6" t="n">
        <x:v>503</x:v>
      </x:c>
      <x:c r="C59" s="6" t="n">
        <x:v>1184</x:v>
      </x:c>
      <x:c r="D59" s="11" t="n">
        <x:v>74453.07</x:v>
      </x:c>
      <x:c r="E59" s="11" t="n">
        <x:v>5436.8</x:v>
      </x:c>
      <x:c r="F59" s="11" t="n">
        <x:v>69016.27</x:v>
      </x:c>
      <x:c r="G59" s="11" t="n">
        <x:v>20775.47</x:v>
      </x:c>
      <x:c r="H59" s="11" t="n">
        <x:v>137.209284</x:v>
      </x:c>
      <x:c r="I59" s="8" t="n">
        <x:v>0.301023</x:v>
      </x:c>
      <x:c r="J59" s="8" t="n">
        <x:v>0.134332</x:v>
      </x:c>
      <x:c r="K59" s="8" t="n">
        <x:v>0.000008</x:v>
      </x:c>
      <x:c r="L59" s="8" t="n">
        <x:v>0.0371</x:v>
      </x:c>
      <x:c r="M59" s="8" t="n">
        <x:v>-0.0357771889</x:v>
      </x:c>
    </x:row>
    <x:row r="60">
      <x:c r="A60" s="14" t="n">
        <x:v>45597</x:v>
      </x:c>
      <x:c r="B60" s="6" t="n">
        <x:v>497</x:v>
      </x:c>
      <x:c r="C60" s="6" t="n">
        <x:v>1135</x:v>
      </x:c>
      <x:c r="D60" s="11" t="n">
        <x:v>68659.33</x:v>
      </x:c>
      <x:c r="E60" s="11" t="n">
        <x:v>4967.52</x:v>
      </x:c>
      <x:c r="F60" s="11" t="n">
        <x:v>63691.81</x:v>
      </x:c>
      <x:c r="G60" s="11" t="n">
        <x:v>19009.96</x:v>
      </x:c>
      <x:c r="H60" s="11" t="n">
        <x:v>128.152535</x:v>
      </x:c>
      <x:c r="I60" s="8" t="n">
        <x:v>0.298468</x:v>
      </x:c>
      <x:c r="J60" s="8" t="n">
        <x:v>-0.077148</x:v>
      </x:c>
      <x:c r="K60" s="8" t="n">
        <x:v>0.051203</x:v>
      </x:c>
      <x:c r="L60" s="8" t="n">
        <x:v>0.0734</x:v>
      </x:c>
      <x:c r="M60" s="8" t="n">
        <x:v>-0.0207101456</x:v>
      </x:c>
    </x:row>
    <x:row r="61">
      <x:c r="A61" s="14" t="n">
        <x:v>45627</x:v>
      </x:c>
      <x:c r="B61" s="6" t="n">
        <x:v>517</x:v>
      </x:c>
      <x:c r="C61" s="6" t="n">
        <x:v>1175</x:v>
      </x:c>
      <x:c r="D61" s="11" t="n">
        <x:v>74914.4</x:v>
      </x:c>
      <x:c r="E61" s="11" t="n">
        <x:v>5877.45</x:v>
      </x:c>
      <x:c r="F61" s="11" t="n">
        <x:v>69036.95</x:v>
      </x:c>
      <x:c r="G61" s="11" t="n">
        <x:v>20793.69</x:v>
      </x:c>
      <x:c r="H61" s="11" t="n">
        <x:v>133.533752</x:v>
      </x:c>
      <x:c r="I61" s="8" t="n">
        <x:v>0.301197</x:v>
      </x:c>
      <x:c r="J61" s="8" t="n">
        <x:v>0.083922</x:v>
      </x:c>
      <x:c r="K61" s="8" t="n">
        <x:v>-0.046311</x:v>
      </x:c>
      <x:c r="L61" s="8" t="n">
        <x:v>0.0487</x:v>
      </x:c>
      <x:c r="M61" s="8" t="n">
        <x:v>-0.090582779</x:v>
      </x:c>
    </x:row>
    <x:row r="62">
      <x:c r="A62" s="14" t="n">
        <x:v>45658</x:v>
      </x:c>
      <x:c r="B62" s="6" t="n">
        <x:v>512</x:v>
      </x:c>
      <x:c r="C62" s="6" t="n">
        <x:v>1165</x:v>
      </x:c>
      <x:c r="D62" s="11" t="n">
        <x:v>79729.16</x:v>
      </x:c>
      <x:c r="E62" s="11" t="n">
        <x:v>6007.88</x:v>
      </x:c>
      <x:c r="F62" s="11" t="n">
        <x:v>73721.28</x:v>
      </x:c>
      <x:c r="G62" s="11" t="n">
        <x:v>22536.21</x:v>
      </x:c>
      <x:c r="H62" s="11" t="n">
        <x:v>143.986875</x:v>
      </x:c>
      <x:c r="I62" s="8" t="n">
        <x:v>0.305695</x:v>
      </x:c>
      <x:c r="J62" s="8" t="n">
        <x:v>0.067853</x:v>
      </x:c>
      <x:c r="K62" s="8" t="n">
        <x:v>0.161838</x:v>
      </x:c>
      <x:c r="L62" s="8" t="n">
        <x:v>0.0364</x:v>
      </x:c>
      <x:c r="M62" s="8" t="n">
        <x:v>0.1209921083</x:v>
      </x:c>
    </x:row>
    <x:row r="63">
      <x:c r="A63" s="14" t="n">
        <x:v>45689</x:v>
      </x:c>
      <x:c r="B63" s="6" t="n">
        <x:v>441</x:v>
      </x:c>
      <x:c r="C63" s="6" t="n">
        <x:v>1054</x:v>
      </x:c>
      <x:c r="D63" s="11" t="n">
        <x:v>65326.09</x:v>
      </x:c>
      <x:c r="E63" s="11" t="n">
        <x:v>4310.8</x:v>
      </x:c>
      <x:c r="F63" s="11" t="n">
        <x:v>61015.29</x:v>
      </x:c>
      <x:c r="G63" s="11" t="n">
        <x:v>18588.33</x:v>
      </x:c>
      <x:c r="H63" s="11" t="n">
        <x:v>138.356667</x:v>
      </x:c>
      <x:c r="I63" s="8" t="n">
        <x:v>0.30465</x:v>
      </x:c>
      <x:c r="J63" s="8" t="n">
        <x:v>-0.172352</x:v>
      </x:c>
      <x:c r="K63" s="8" t="n">
        <x:v>0.018988</x:v>
      </x:c>
      <x:c r="L63" s="8" t="n">
        <x:v>0.0046</x:v>
      </x:c>
      <x:c r="M63" s="8" t="n">
        <x:v>0.0143665804</x:v>
      </x:c>
    </x:row>
    <x:row r="64">
      <x:c r="A64" s="14" t="n">
        <x:v>45717</x:v>
      </x:c>
      <x:c r="B64" s="6" t="n">
        <x:v>512</x:v>
      </x:c>
      <x:c r="C64" s="6" t="n">
        <x:v>1172</x:v>
      </x:c>
      <x:c r="D64" s="11" t="n">
        <x:v>76869.2</x:v>
      </x:c>
      <x:c r="E64" s="11" t="n">
        <x:v>4682.2</x:v>
      </x:c>
      <x:c r="F64" s="11" t="n">
        <x:v>72187</x:v>
      </x:c>
      <x:c r="G64" s="11" t="n">
        <x:v>22210.64</x:v>
      </x:c>
      <x:c r="H64" s="11" t="n">
        <x:v>140.990234</x:v>
      </x:c>
      <x:c r="I64" s="8" t="n">
        <x:v>0.307682</x:v>
      </x:c>
      <x:c r="J64" s="8" t="n">
        <x:v>0.183097</x:v>
      </x:c>
      <x:c r="K64" s="8" t="n">
        <x:v>0.184429</x:v>
      </x:c>
      <x:c r="L64" s="8" t="n">
        <x:v>0.0711</x:v>
      </x:c>
      <x:c r="M64" s="8" t="n">
        <x:v>0.1057752722</x:v>
      </x:c>
    </x:row>
    <x:row r="65">
      <x:c r="A65" s="14" t="n">
        <x:v>45748</x:v>
      </x:c>
      <x:c r="B65" s="6" t="n">
        <x:v>479</x:v>
      </x:c>
      <x:c r="C65" s="6" t="n">
        <x:v>1070</x:v>
      </x:c>
      <x:c r="D65" s="11" t="n">
        <x:v>65001.7</x:v>
      </x:c>
      <x:c r="E65" s="11" t="n">
        <x:v>4381.65</x:v>
      </x:c>
      <x:c r="F65" s="11" t="n">
        <x:v>60620.05</x:v>
      </x:c>
      <x:c r="G65" s="11" t="n">
        <x:v>18296.22</x:v>
      </x:c>
      <x:c r="H65" s="11" t="n">
        <x:v>126.555428</x:v>
      </x:c>
      <x:c r="I65" s="8" t="n">
        <x:v>0.301818</x:v>
      </x:c>
      <x:c r="J65" s="8" t="n">
        <x:v>-0.160236</x:v>
      </x:c>
      <x:c r="K65" s="8" t="n">
        <x:v>0.110169</x:v>
      </x:c>
      <x:c r="L65" s="8" t="n">
        <x:v>0.0597</x:v>
      </x:c>
      <x:c r="M65" s="8" t="n">
        <x:v>0.0475917012</x:v>
      </x:c>
    </x:row>
    <x:row r="66">
      <x:c r="A66" s="14" t="n">
        <x:v>45778</x:v>
      </x:c>
      <x:c r="B66" s="6" t="n">
        <x:v>468</x:v>
      </x:c>
      <x:c r="C66" s="6" t="n">
        <x:v>1071</x:v>
      </x:c>
      <x:c r="D66" s="11" t="n">
        <x:v>71877.9</x:v>
      </x:c>
      <x:c r="E66" s="11" t="n">
        <x:v>5456.99</x:v>
      </x:c>
      <x:c r="F66" s="11" t="n">
        <x:v>66420.91</x:v>
      </x:c>
      <x:c r="G66" s="11" t="n">
        <x:v>19569.63</x:v>
      </x:c>
      <x:c r="H66" s="11" t="n">
        <x:v>141.925021</x:v>
      </x:c>
      <x:c r="I66" s="8" t="n">
        <x:v>0.294631</x:v>
      </x:c>
      <x:c r="J66" s="8" t="n">
        <x:v>0.095692</x:v>
      </x:c>
      <x:c r="K66" s="8" t="n">
        <x:v>0.095978</x:v>
      </x:c>
      <x:c r="L66" s="8" t="n">
        <x:v>-0.0127</x:v>
      </x:c>
      <x:c r="M66" s="8" t="n">
        <x:v>0.1100289381</x:v>
      </x:c>
    </x:row>
    <x:row r="67">
      <x:c r="A67" s="14" t="n">
        <x:v>45809</x:v>
      </x:c>
      <x:c r="B67" s="6" t="n">
        <x:v>468</x:v>
      </x:c>
      <x:c r="C67" s="6" t="n">
        <x:v>1032</x:v>
      </x:c>
      <x:c r="D67" s="11" t="n">
        <x:v>67898.52</x:v>
      </x:c>
      <x:c r="E67" s="11" t="n">
        <x:v>4945.36</x:v>
      </x:c>
      <x:c r="F67" s="11" t="n">
        <x:v>62953.16</x:v>
      </x:c>
      <x:c r="G67" s="11" t="n">
        <x:v>19283.97</x:v>
      </x:c>
      <x:c r="H67" s="11" t="n">
        <x:v>134.515299</x:v>
      </x:c>
      <x:c r="I67" s="8" t="n">
        <x:v>0.306323</x:v>
      </x:c>
      <x:c r="J67" s="8" t="n">
        <x:v>-0.052209</x:v>
      </x:c>
      <x:c r="K67" s="8" t="n">
        <x:v>0.09028</x:v>
      </x:c>
      <x:c r="L67" s="8" t="n">
        <x:v>0.0377</x:v>
      </x:c>
      <x:c r="M67" s="8" t="n">
        <x:v>0.0506754528</x:v>
      </x:c>
    </x:row>
    <x:row r="68">
      <x:c r="A68" s="14" t="n">
        <x:v>45839</x:v>
      </x:c>
      <x:c r="B68" s="6" t="n">
        <x:v>470</x:v>
      </x:c>
      <x:c r="C68" s="6" t="n">
        <x:v>1064</x:v>
      </x:c>
      <x:c r="D68" s="11" t="n">
        <x:v>60890.3</x:v>
      </x:c>
      <x:c r="E68" s="11" t="n">
        <x:v>4706.39</x:v>
      </x:c>
      <x:c r="F68" s="11" t="n">
        <x:v>56183.91</x:v>
      </x:c>
      <x:c r="G68" s="11" t="n">
        <x:v>17274.45</x:v>
      </x:c>
      <x:c r="H68" s="11" t="n">
        <x:v>119.540234</x:v>
      </x:c>
      <x:c r="I68" s="8" t="n">
        <x:v>0.307463</x:v>
      </x:c>
      <x:c r="J68" s="8" t="n">
        <x:v>-0.107528</x:v>
      </x:c>
      <x:c r="K68" s="8" t="n">
        <x:v>-0.14722</x:v>
      </x:c>
      <x:c r="L68" s="8" t="n">
        <x:v>-0.0766</x:v>
      </x:c>
      <x:c r="M68" s="8" t="n">
        <x:v>-0.0764573961</x:v>
      </x:c>
    </x:row>
    <x:row r="69">
      <x:c r="A69" s="14" t="n">
        <x:v>45870</x:v>
      </x:c>
      <x:c r="B69" s="6" t="n">
        <x:v>521</x:v>
      </x:c>
      <x:c r="C69" s="6" t="n">
        <x:v>1210</x:v>
      </x:c>
      <x:c r="D69" s="11" t="n">
        <x:v>76097.16</x:v>
      </x:c>
      <x:c r="E69" s="11" t="n">
        <x:v>5004.15</x:v>
      </x:c>
      <x:c r="F69" s="11" t="n">
        <x:v>71093.01</x:v>
      </x:c>
      <x:c r="G69" s="11" t="n">
        <x:v>21443.04</x:v>
      </x:c>
      <x:c r="H69" s="11" t="n">
        <x:v>136.454914</x:v>
      </x:c>
      <x:c r="I69" s="8" t="n">
        <x:v>0.30162</x:v>
      </x:c>
      <x:c r="J69" s="8" t="n">
        <x:v>0.265362</x:v>
      </x:c>
      <x:c r="K69" s="8" t="n">
        <x:v>0.007228</x:v>
      </x:c>
      <x:c r="L69" s="8" t="n">
        <x:v>0.0337</x:v>
      </x:c>
      <x:c r="M69" s="8" t="n">
        <x:v>-0.0256371657</x:v>
      </x:c>
    </x:row>
    <x:row r="70">
      <x:c r="A70" s="14" t="n">
        <x:v>45901</x:v>
      </x:c>
      <x:c r="B70" s="6" t="n">
        <x:v>514</x:v>
      </x:c>
      <x:c r="C70" s="6" t="n">
        <x:v>1184</x:v>
      </x:c>
      <x:c r="D70" s="11" t="n">
        <x:v>75148.78</x:v>
      </x:c>
      <x:c r="E70" s="11" t="n">
        <x:v>5762.45</x:v>
      </x:c>
      <x:c r="F70" s="11" t="n">
        <x:v>69386.33</x:v>
      </x:c>
      <x:c r="G70" s="11" t="n">
        <x:v>20412.6</x:v>
      </x:c>
      <x:c r="H70" s="11" t="n">
        <x:v>134.99286</x:v>
      </x:c>
      <x:c r="I70" s="8" t="n">
        <x:v>0.294188</x:v>
      </x:c>
      <x:c r="J70" s="8" t="n">
        <x:v>-0.024006</x:v>
      </x:c>
      <x:c r="K70" s="8" t="n">
        <x:v>0.140414</x:v>
      </x:c>
      <x:c r="L70" s="8" t="n">
        <x:v>0.1272</x:v>
      </x:c>
      <x:c r="M70" s="8" t="n">
        <x:v>0.0117292528</x:v>
      </x:c>
    </x:row>
    <x:row r="71">
      <x:c r="A71" s="14" t="n">
        <x:v>45931</x:v>
      </x:c>
      <x:c r="B71" s="6" t="n">
        <x:v>493</x:v>
      </x:c>
      <x:c r="C71" s="6" t="n">
        <x:v>1133</x:v>
      </x:c>
      <x:c r="D71" s="11" t="n">
        <x:v>74141.02</x:v>
      </x:c>
      <x:c r="E71" s="11" t="n">
        <x:v>5406.69</x:v>
      </x:c>
      <x:c r="F71" s="11" t="n">
        <x:v>68734.33</x:v>
      </x:c>
      <x:c r="G71" s="11" t="n">
        <x:v>21273.58</x:v>
      </x:c>
      <x:c r="H71" s="11" t="n">
        <x:v>139.420548</x:v>
      </x:c>
      <x:c r="I71" s="8" t="n">
        <x:v>0.309504</x:v>
      </x:c>
      <x:c r="J71" s="8" t="n">
        <x:v>-0.009397</x:v>
      </x:c>
      <x:c r="K71" s="8" t="n">
        <x:v>-0.004085</x:v>
      </x:c>
      <x:c r="L71" s="8" t="n">
        <x:v>-0.0199</x:v>
      </x:c>
      <x:c r="M71" s="8" t="n">
        <x:v>0.016115994</x:v>
      </x:c>
    </x:row>
  </x:sheetData>
  <x:conditionalFormatting sqref="A2:M71">
    <x:cfRule type="expression" dxfId="13" priority="1">
      <x:formula>MOD(ROW(),2)=0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22" hidden="0" customWidth="1"/>
    <x:col min="4" max="4" width="20" hidden="0" customWidth="1"/>
    <x:col min="5" max="5" width="14" hidden="0" customWidth="1"/>
    <x:col min="6" max="6" width="18" hidden="0" customWidth="1"/>
    <x:col min="7" max="7" width="15" hidden="0" customWidth="1"/>
    <x:col min="8" max="8" width="24" hidden="0" customWidth="1"/>
    <x:col min="9" max="9" width="15" hidden="0" customWidth="1"/>
  </x:cols>
  <x:sheetData>
    <x:row r="1" ht="32" customHeight="1">
      <x:c r="A1" s="5" t="str">
        <x:v>source</x:v>
      </x:c>
      <x:c r="B1" s="5" t="str">
        <x:v>sessions</x:v>
      </x:c>
      <x:c r="C1" s="5" t="str">
        <x:v>purchase_sessions</x:v>
      </x:c>
      <x:c r="D1" s="5" t="str">
        <x:v>session_conversion</x:v>
      </x:c>
      <x:c r="E1" s="5" t="str">
        <x:v>orders</x:v>
      </x:c>
      <x:c r="F1" s="5" t="str">
        <x:v>net_revenue</x:v>
      </x:c>
      <x:c r="G1" s="5" t="str">
        <x:v>aov</x:v>
      </x:c>
      <x:c r="H1" s="5" t="str">
        <x:v>revenue_per_session</x:v>
      </x:c>
      <x:c r="I1" s="5" t="str">
        <x:v>net_margin</x:v>
      </x:c>
    </x:row>
    <x:row r="2">
      <x:c r="A2" s="2" t="str">
        <x:v>referral</x:v>
      </x:c>
      <x:c r="B2" s="6" t="n">
        <x:v>9560</x:v>
      </x:c>
      <x:c r="C2" s="6" t="n">
        <x:v>2724</x:v>
      </x:c>
      <x:c r="D2" s="8" t="n">
        <x:v>0.2849</x:v>
      </x:c>
      <x:c r="E2" s="6" t="n">
        <x:v>2724</x:v>
      </x:c>
      <x:c r="F2" s="11" t="n">
        <x:v>373706.55</x:v>
      </x:c>
      <x:c r="G2" s="11" t="n">
        <x:v>137.190363</x:v>
      </x:c>
      <x:c r="H2" s="11" t="n">
        <x:v>39.090643</x:v>
      </x:c>
      <x:c r="I2" s="8" t="n">
        <x:v>0.305131</x:v>
      </x:c>
    </x:row>
    <x:row r="3">
      <x:c r="A3" s="2" t="str">
        <x:v>paid</x:v>
      </x:c>
      <x:c r="B3" s="6" t="n">
        <x:v>14465</x:v>
      </x:c>
      <x:c r="C3" s="6" t="n">
        <x:v>4121</x:v>
      </x:c>
      <x:c r="D3" s="8" t="n">
        <x:v>0.2849</x:v>
      </x:c>
      <x:c r="E3" s="6" t="n">
        <x:v>4121</x:v>
      </x:c>
      <x:c r="F3" s="11" t="n">
        <x:v>561639.48</x:v>
      </x:c>
      <x:c r="G3" s="11" t="n">
        <x:v>136.287183</x:v>
      </x:c>
      <x:c r="H3" s="11" t="n">
        <x:v>38.827479</x:v>
      </x:c>
      <x:c r="I3" s="8" t="n">
        <x:v>0.303166</x:v>
      </x:c>
    </x:row>
    <x:row r="4">
      <x:c r="A4" s="2" t="str">
        <x:v>direct</x:v>
      </x:c>
      <x:c r="B4" s="6" t="n">
        <x:v>29861</x:v>
      </x:c>
      <x:c r="C4" s="6" t="n">
        <x:v>8387</x:v>
      </x:c>
      <x:c r="D4" s="8" t="n">
        <x:v>0.2809</x:v>
      </x:c>
      <x:c r="E4" s="6" t="n">
        <x:v>8387</x:v>
      </x:c>
      <x:c r="F4" s="11" t="n">
        <x:v>1124754.89</x:v>
      </x:c>
      <x:c r="G4" s="11" t="n">
        <x:v>134.106938</x:v>
      </x:c>
      <x:c r="H4" s="11" t="n">
        <x:v>37.66635</x:v>
      </x:c>
      <x:c r="I4" s="8" t="n">
        <x:v>0.306637</x:v>
      </x:c>
    </x:row>
    <x:row r="5">
      <x:c r="A5" s="2" t="str">
        <x:v>social</x:v>
      </x:c>
      <x:c r="B5" s="6" t="n">
        <x:v>14389</x:v>
      </x:c>
      <x:c r="C5" s="6" t="n">
        <x:v>4024</x:v>
      </x:c>
      <x:c r="D5" s="8" t="n">
        <x:v>0.2797</x:v>
      </x:c>
      <x:c r="E5" s="6" t="n">
        <x:v>4024</x:v>
      </x:c>
      <x:c r="F5" s="11" t="n">
        <x:v>536240.79</x:v>
      </x:c>
      <x:c r="G5" s="11" t="n">
        <x:v>133.260634</x:v>
      </x:c>
      <x:c r="H5" s="11" t="n">
        <x:v>37.267412</x:v>
      </x:c>
      <x:c r="I5" s="8" t="n">
        <x:v>0.304596</x:v>
      </x:c>
    </x:row>
    <x:row r="6">
      <x:c r="A6" s="2" t="str">
        <x:v>organic</x:v>
      </x:c>
      <x:c r="B6" s="6" t="n">
        <x:v>40776</x:v>
      </x:c>
      <x:c r="C6" s="6" t="n">
        <x:v>11268</x:v>
      </x:c>
      <x:c r="D6" s="8" t="n">
        <x:v>0.2763</x:v>
      </x:c>
      <x:c r="E6" s="6" t="n">
        <x:v>11268</x:v>
      </x:c>
      <x:c r="F6" s="11" t="n">
        <x:v>1501632.6</x:v>
      </x:c>
      <x:c r="G6" s="11" t="n">
        <x:v>133.265229</x:v>
      </x:c>
      <x:c r="H6" s="11" t="n">
        <x:v>36.826383</x:v>
      </x:c>
      <x:c r="I6" s="8" t="n">
        <x:v>0.305066</x:v>
      </x:c>
    </x:row>
    <x:row r="7">
      <x:c r="A7" s="2" t="str">
        <x:v>email</x:v>
      </x:c>
      <x:c r="B7" s="6" t="n">
        <x:v>10949</x:v>
      </x:c>
      <x:c r="C7" s="6" t="n">
        <x:v>3056</x:v>
      </x:c>
      <x:c r="D7" s="8" t="n">
        <x:v>0.2791</x:v>
      </x:c>
      <x:c r="E7" s="6" t="n">
        <x:v>3056</x:v>
      </x:c>
      <x:c r="F7" s="11" t="n">
        <x:v>395243.16</x:v>
      </x:c>
      <x:c r="G7" s="11" t="n">
        <x:v>129.333495</x:v>
      </x:c>
      <x:c r="H7" s="11" t="n">
        <x:v>36.098562</x:v>
      </x:c>
      <x:c r="I7" s="8" t="n">
        <x:v>0.304326</x:v>
      </x:c>
    </x:row>
  </x:sheetData>
  <x:conditionalFormatting sqref="A2:I7">
    <x:cfRule type="expression" dxfId="14" priority="1">
      <x:formula>MOD(ROW(),2)=0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22" hidden="0" customWidth="1"/>
    <x:col min="4" max="4" width="20" hidden="0" customWidth="1"/>
    <x:col min="5" max="5" width="14" hidden="0" customWidth="1"/>
    <x:col min="6" max="6" width="18" hidden="0" customWidth="1"/>
    <x:col min="7" max="7" width="15" hidden="0" customWidth="1"/>
    <x:col min="8" max="8" width="24" hidden="0" customWidth="1"/>
    <x:col min="9" max="9" width="15" hidden="0" customWidth="1"/>
  </x:cols>
  <x:sheetData>
    <x:row r="1" ht="32" customHeight="1">
      <x:c r="A1" s="5" t="str">
        <x:v>device</x:v>
      </x:c>
      <x:c r="B1" s="5" t="str">
        <x:v>sessions</x:v>
      </x:c>
      <x:c r="C1" s="5" t="str">
        <x:v>purchase_sessions</x:v>
      </x:c>
      <x:c r="D1" s="5" t="str">
        <x:v>session_conversion</x:v>
      </x:c>
      <x:c r="E1" s="5" t="str">
        <x:v>orders</x:v>
      </x:c>
      <x:c r="F1" s="5" t="str">
        <x:v>net_revenue</x:v>
      </x:c>
      <x:c r="G1" s="5" t="str">
        <x:v>aov</x:v>
      </x:c>
      <x:c r="H1" s="5" t="str">
        <x:v>revenue_per_session</x:v>
      </x:c>
      <x:c r="I1" s="5" t="str">
        <x:v>net_margin</x:v>
      </x:c>
    </x:row>
    <x:row r="2">
      <x:c r="A2" s="2" t="str">
        <x:v>mobile</x:v>
      </x:c>
      <x:c r="B2" s="6" t="n">
        <x:v>65942</x:v>
      </x:c>
      <x:c r="C2" s="6" t="n">
        <x:v>18469</x:v>
      </x:c>
      <x:c r="D2" s="8" t="n">
        <x:v>0.2801</x:v>
      </x:c>
      <x:c r="E2" s="6" t="n">
        <x:v>18469</x:v>
      </x:c>
      <x:c r="F2" s="11" t="n">
        <x:v>2496380.33</x:v>
      </x:c>
      <x:c r="G2" s="11" t="n">
        <x:v>135.165972</x:v>
      </x:c>
      <x:c r="H2" s="11" t="n">
        <x:v>37.857213</x:v>
      </x:c>
      <x:c r="I2" s="8" t="n">
        <x:v>0.306185</x:v>
      </x:c>
    </x:row>
    <x:row r="3">
      <x:c r="A3" s="2" t="str">
        <x:v>desktop</x:v>
      </x:c>
      <x:c r="B3" s="6" t="n">
        <x:v>45547</x:v>
      </x:c>
      <x:c r="C3" s="6" t="n">
        <x:v>12750</x:v>
      </x:c>
      <x:c r="D3" s="8" t="n">
        <x:v>0.2799</x:v>
      </x:c>
      <x:c r="E3" s="6" t="n">
        <x:v>12750</x:v>
      </x:c>
      <x:c r="F3" s="11" t="n">
        <x:v>1683869.59</x:v>
      </x:c>
      <x:c r="G3" s="11" t="n">
        <x:v>132.068203</x:v>
      </x:c>
      <x:c r="H3" s="11" t="n">
        <x:v>36.969934</x:v>
      </x:c>
      <x:c r="I3" s="8" t="n">
        <x:v>0.303369</x:v>
      </x:c>
    </x:row>
    <x:row r="4">
      <x:c r="A4" s="2" t="str">
        <x:v>tablet</x:v>
      </x:c>
      <x:c r="B4" s="6" t="n">
        <x:v>8511</x:v>
      </x:c>
      <x:c r="C4" s="6" t="n">
        <x:v>2361</x:v>
      </x:c>
      <x:c r="D4" s="8" t="n">
        <x:v>0.2774</x:v>
      </x:c>
      <x:c r="E4" s="6" t="n">
        <x:v>2361</x:v>
      </x:c>
      <x:c r="F4" s="11" t="n">
        <x:v>312967.55</x:v>
      </x:c>
      <x:c r="G4" s="11" t="n">
        <x:v>132.5572</x:v>
      </x:c>
      <x:c r="H4" s="11" t="n">
        <x:v>36.772124</x:v>
      </x:c>
      <x:c r="I4" s="8" t="n">
        <x:v>0.30584</x:v>
      </x:c>
    </x:row>
  </x:sheetData>
  <x:conditionalFormatting sqref="A2:I4">
    <x:cfRule type="expression" dxfId="15" priority="1">
      <x:formula>MOD(ROW(),2)=0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3" hidden="0" customWidth="1"/>
    <x:col min="4" max="4" width="18" hidden="0" customWidth="1"/>
    <x:col min="5" max="5" width="17" hidden="0" customWidth="1"/>
    <x:col min="6" max="6" width="15" hidden="0" customWidth="1"/>
    <x:col min="7" max="7" width="15" hidden="0" customWidth="1"/>
  </x:cols>
  <x:sheetData>
    <x:row r="1" ht="32" customHeight="1">
      <x:c r="A1" s="5" t="str">
        <x:v>country</x:v>
      </x:c>
      <x:c r="B1" s="5" t="str">
        <x:v>orders</x:v>
      </x:c>
      <x:c r="C1" s="5" t="str">
        <x:v>purchasing_customers</x:v>
      </x:c>
      <x:c r="D1" s="5" t="str">
        <x:v>net_revenue</x:v>
      </x:c>
      <x:c r="E1" s="5" t="str">
        <x:v>revenue_share</x:v>
      </x:c>
      <x:c r="F1" s="5" t="str">
        <x:v>aov</x:v>
      </x:c>
      <x:c r="G1" s="5" t="str">
        <x:v>net_margin</x:v>
      </x:c>
    </x:row>
    <x:row r="2">
      <x:c r="A2" s="2" t="str">
        <x:v>US</x:v>
      </x:c>
      <x:c r="B2" s="6" t="n">
        <x:v>6138</x:v>
      </x:c>
      <x:c r="C2" s="6" t="n">
        <x:v>2979</x:v>
      </x:c>
      <x:c r="D2" s="11" t="n">
        <x:v>823420.19</x:v>
      </x:c>
      <x:c r="E2" s="8" t="n">
        <x:v>0.183258</x:v>
      </x:c>
      <x:c r="F2" s="11" t="n">
        <x:v>134.15122</x:v>
      </x:c>
      <x:c r="G2" s="8" t="n">
        <x:v>0.306015</x:v>
      </x:c>
    </x:row>
    <x:row r="3">
      <x:c r="A3" s="2" t="str">
        <x:v>GB</x:v>
      </x:c>
      <x:c r="B3" s="6" t="n">
        <x:v>2653</x:v>
      </x:c>
      <x:c r="C3" s="6" t="n">
        <x:v>1273</x:v>
      </x:c>
      <x:c r="D3" s="11" t="n">
        <x:v>355863.06</x:v>
      </x:c>
      <x:c r="E3" s="8" t="n">
        <x:v>0.0792</x:v>
      </x:c>
      <x:c r="F3" s="11" t="n">
        <x:v>134.136095</x:v>
      </x:c>
      <x:c r="G3" s="8" t="n">
        <x:v>0.302067</x:v>
      </x:c>
    </x:row>
    <x:row r="4">
      <x:c r="A4" s="2" t="str">
        <x:v>IN</x:v>
      </x:c>
      <x:c r="B4" s="6" t="n">
        <x:v>2642</x:v>
      </x:c>
      <x:c r="C4" s="6" t="n">
        <x:v>1279</x:v>
      </x:c>
      <x:c r="D4" s="11" t="n">
        <x:v>345574.03</x:v>
      </x:c>
      <x:c r="E4" s="8" t="n">
        <x:v>0.07691</x:v>
      </x:c>
      <x:c r="F4" s="11" t="n">
        <x:v>130.800163</x:v>
      </x:c>
      <x:c r="G4" s="8" t="n">
        <x:v>0.30241</x:v>
      </x:c>
    </x:row>
    <x:row r="5">
      <x:c r="A5" s="2" t="str">
        <x:v>BR</x:v>
      </x:c>
      <x:c r="B5" s="6" t="n">
        <x:v>2464</x:v>
      </x:c>
      <x:c r="C5" s="6" t="n">
        <x:v>1195</x:v>
      </x:c>
      <x:c r="D5" s="11" t="n">
        <x:v>323063.65</x:v>
      </x:c>
      <x:c r="E5" s="8" t="n">
        <x:v>0.0719</x:v>
      </x:c>
      <x:c r="F5" s="11" t="n">
        <x:v>131.113494</x:v>
      </x:c>
      <x:c r="G5" s="8" t="n">
        <x:v>0.305229</x:v>
      </x:c>
    </x:row>
    <x:row r="6">
      <x:c r="A6" s="2" t="str">
        <x:v>DE</x:v>
      </x:c>
      <x:c r="B6" s="6" t="n">
        <x:v>2321</x:v>
      </x:c>
      <x:c r="C6" s="6" t="n">
        <x:v>1143</x:v>
      </x:c>
      <x:c r="D6" s="11" t="n">
        <x:v>297669.52</x:v>
      </x:c>
      <x:c r="E6" s="8" t="n">
        <x:v>0.066249</x:v>
      </x:c>
      <x:c r="F6" s="11" t="n">
        <x:v>128.250547</x:v>
      </x:c>
      <x:c r="G6" s="8" t="n">
        <x:v>0.307754</x:v>
      </x:c>
    </x:row>
    <x:row r="7">
      <x:c r="A7" s="2" t="str">
        <x:v>FR</x:v>
      </x:c>
      <x:c r="B7" s="6" t="n">
        <x:v>2188</x:v>
      </x:c>
      <x:c r="C7" s="6" t="n">
        <x:v>1049</x:v>
      </x:c>
      <x:c r="D7" s="11" t="n">
        <x:v>297325.36</x:v>
      </x:c>
      <x:c r="E7" s="8" t="n">
        <x:v>0.066172</x:v>
      </x:c>
      <x:c r="F7" s="11" t="n">
        <x:v>135.889104</x:v>
      </x:c>
      <x:c r="G7" s="8" t="n">
        <x:v>0.309479</x:v>
      </x:c>
    </x:row>
    <x:row r="8">
      <x:c r="A8" s="2" t="str">
        <x:v>MX</x:v>
      </x:c>
      <x:c r="B8" s="6" t="n">
        <x:v>2022</x:v>
      </x:c>
      <x:c r="C8" s="6" t="n">
        <x:v>985</x:v>
      </x:c>
      <x:c r="D8" s="11" t="n">
        <x:v>275336.06</x:v>
      </x:c>
      <x:c r="E8" s="8" t="n">
        <x:v>0.061278</x:v>
      </x:c>
      <x:c r="F8" s="11" t="n">
        <x:v>136.170158</x:v>
      </x:c>
      <x:c r="G8" s="8" t="n">
        <x:v>0.302192</x:v>
      </x:c>
    </x:row>
    <x:row r="9">
      <x:c r="A9" s="2" t="str">
        <x:v>AU</x:v>
      </x:c>
      <x:c r="B9" s="6" t="n">
        <x:v>1797</x:v>
      </x:c>
      <x:c r="C9" s="6" t="n">
        <x:v>848</x:v>
      </x:c>
      <x:c r="D9" s="11" t="n">
        <x:v>242263.71</x:v>
      </x:c>
      <x:c r="E9" s="8" t="n">
        <x:v>0.053918</x:v>
      </x:c>
      <x:c r="F9" s="11" t="n">
        <x:v>134.815643</x:v>
      </x:c>
      <x:c r="G9" s="8" t="n">
        <x:v>0.309837</x:v>
      </x:c>
    </x:row>
    <x:row r="10">
      <x:c r="A10" s="2" t="str">
        <x:v>CA</x:v>
      </x:c>
      <x:c r="B10" s="6" t="n">
        <x:v>1651</x:v>
      </x:c>
      <x:c r="C10" s="6" t="n">
        <x:v>812</x:v>
      </x:c>
      <x:c r="D10" s="11" t="n">
        <x:v>220944.75</x:v>
      </x:c>
      <x:c r="E10" s="8" t="n">
        <x:v>0.049173</x:v>
      </x:c>
      <x:c r="F10" s="11" t="n">
        <x:v>133.824803</x:v>
      </x:c>
      <x:c r="G10" s="8" t="n">
        <x:v>0.301795</x:v>
      </x:c>
    </x:row>
    <x:row r="11">
      <x:c r="A11" s="2" t="str">
        <x:v>ES</x:v>
      </x:c>
      <x:c r="B11" s="6" t="n">
        <x:v>1558</x:v>
      </x:c>
      <x:c r="C11" s="6" t="n">
        <x:v>757</x:v>
      </x:c>
      <x:c r="D11" s="11" t="n">
        <x:v>213972.24</x:v>
      </x:c>
      <x:c r="E11" s="8" t="n">
        <x:v>0.047621</x:v>
      </x:c>
      <x:c r="F11" s="11" t="n">
        <x:v>137.337766</x:v>
      </x:c>
      <x:c r="G11" s="8" t="n">
        <x:v>0.306592</x:v>
      </x:c>
    </x:row>
    <x:row r="12">
      <x:c r="A12" s="2" t="str">
        <x:v>JP</x:v>
      </x:c>
      <x:c r="B12" s="6" t="n">
        <x:v>1655</x:v>
      </x:c>
      <x:c r="C12" s="6" t="n">
        <x:v>798</x:v>
      </x:c>
      <x:c r="D12" s="11" t="n">
        <x:v>212977.6</x:v>
      </x:c>
      <x:c r="E12" s="8" t="n">
        <x:v>0.0474</x:v>
      </x:c>
      <x:c r="F12" s="11" t="n">
        <x:v>128.687372</x:v>
      </x:c>
      <x:c r="G12" s="8" t="n">
        <x:v>0.304962</x:v>
      </x:c>
    </x:row>
    <x:row r="13">
      <x:c r="A13" s="2" t="str">
        <x:v>NL</x:v>
      </x:c>
      <x:c r="B13" s="6" t="n">
        <x:v>1491</x:v>
      </x:c>
      <x:c r="C13" s="6" t="n">
        <x:v>727</x:v>
      </x:c>
      <x:c r="D13" s="11" t="n">
        <x:v>205932.62</x:v>
      </x:c>
      <x:c r="E13" s="8" t="n">
        <x:v>0.045832</x:v>
      </x:c>
      <x:c r="F13" s="11" t="n">
        <x:v>138.117116</x:v>
      </x:c>
      <x:c r="G13" s="8" t="n">
        <x:v>0.305433</x:v>
      </x:c>
    </x:row>
    <x:row r="14">
      <x:c r="A14" s="2" t="str">
        <x:v>SG</x:v>
      </x:c>
      <x:c r="B14" s="6" t="n">
        <x:v>1379</x:v>
      </x:c>
      <x:c r="C14" s="6" t="n">
        <x:v>647</x:v>
      </x:c>
      <x:c r="D14" s="11" t="n">
        <x:v>181646.85</x:v>
      </x:c>
      <x:c r="E14" s="8" t="n">
        <x:v>0.040427</x:v>
      </x:c>
      <x:c r="F14" s="11" t="n">
        <x:v>131.723604</x:v>
      </x:c>
      <x:c r="G14" s="8" t="n">
        <x:v>0.305438</x:v>
      </x:c>
    </x:row>
    <x:row r="15">
      <x:c r="A15" s="2" t="str">
        <x:v>PL</x:v>
      </x:c>
      <x:c r="B15" s="6" t="n">
        <x:v>1014</x:v>
      </x:c>
      <x:c r="C15" s="6" t="n">
        <x:v>490</x:v>
      </x:c>
      <x:c r="D15" s="11" t="n">
        <x:v>143551.68</x:v>
      </x:c>
      <x:c r="E15" s="8" t="n">
        <x:v>0.031949</x:v>
      </x:c>
      <x:c r="F15" s="11" t="n">
        <x:v>141.569704</x:v>
      </x:c>
      <x:c r="G15" s="8" t="n">
        <x:v>0.303243</x:v>
      </x:c>
    </x:row>
    <x:row r="16">
      <x:c r="A16" s="2" t="str">
        <x:v>SE</x:v>
      </x:c>
      <x:c r="B16" s="6" t="n">
        <x:v>1029</x:v>
      </x:c>
      <x:c r="C16" s="6" t="n">
        <x:v>518</x:v>
      </x:c>
      <x:c r="D16" s="11" t="n">
        <x:v>137347.5</x:v>
      </x:c>
      <x:c r="E16" s="8" t="n">
        <x:v>0.030568</x:v>
      </x:c>
      <x:c r="F16" s="11" t="n">
        <x:v>133.476676</x:v>
      </x:c>
      <x:c r="G16" s="8" t="n">
        <x:v>0.301704</x:v>
      </x:c>
    </x:row>
    <x:row r="17">
      <x:c r="A17" s="2" t="str">
        <x:v>AE</x:v>
      </x:c>
      <x:c r="B17" s="6" t="n">
        <x:v>913</x:v>
      </x:c>
      <x:c r="C17" s="6" t="n">
        <x:v>447</x:v>
      </x:c>
      <x:c r="D17" s="11" t="n">
        <x:v>119886</x:v>
      </x:c>
      <x:c r="E17" s="8" t="n">
        <x:v>0.026682</x:v>
      </x:c>
      <x:c r="F17" s="11" t="n">
        <x:v>131.309967</x:v>
      </x:c>
      <x:c r="G17" s="8" t="n">
        <x:v>0.306486</x:v>
      </x:c>
    </x:row>
    <x:row r="18">
      <x:c r="A18" s="2" t="str">
        <x:v>ZA</x:v>
      </x:c>
      <x:c r="B18" s="6" t="n">
        <x:v>665</x:v>
      </x:c>
      <x:c r="C18" s="6" t="n">
        <x:v>321</x:v>
      </x:c>
      <x:c r="D18" s="11" t="n">
        <x:v>96442.65</x:v>
      </x:c>
      <x:c r="E18" s="8" t="n">
        <x:v>0.021464</x:v>
      </x:c>
      <x:c r="F18" s="11" t="n">
        <x:v>145.026541</x:v>
      </x:c>
      <x:c r="G18" s="8" t="n">
        <x:v>0.30176</x:v>
      </x:c>
    </x:row>
  </x:sheetData>
  <x:conditionalFormatting sqref="A2:G18">
    <x:cfRule type="expression" dxfId="16" priority="1">
      <x:formula>MOD(ROW(),2)=0</x:formula>
    </x:cfRule>
  </x:conditionalFormatting>
  <x:pageMargins left="0.7" right="0.7" top="0.75" bottom="0.75" header="0.3" footer="0.3"/>
</x:worksheet>
</file>